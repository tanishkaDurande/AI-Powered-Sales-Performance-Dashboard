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nishka Durande\Desktop\AI-Powered Sales Analysis\data\"/>
    </mc:Choice>
  </mc:AlternateContent>
  <xr:revisionPtr revIDLastSave="0" documentId="8_{144EC26F-D6D4-4E76-83E7-52CFCA7DBC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</calcChain>
</file>

<file path=xl/sharedStrings.xml><?xml version="1.0" encoding="utf-8"?>
<sst xmlns="http://schemas.openxmlformats.org/spreadsheetml/2006/main" count="614" uniqueCount="204">
  <si>
    <t>Date</t>
  </si>
  <si>
    <t>Region</t>
  </si>
  <si>
    <t>Lead Source</t>
  </si>
  <si>
    <t>Leads Generated</t>
  </si>
  <si>
    <t>Demo Calls</t>
  </si>
  <si>
    <t>Deals Closed</t>
  </si>
  <si>
    <t>Revenue</t>
  </si>
  <si>
    <t>Marketing Spend</t>
  </si>
  <si>
    <t>Sales Hours Spent</t>
  </si>
  <si>
    <t>2026-01-01</t>
  </si>
  <si>
    <t>West</t>
  </si>
  <si>
    <t>LinkedIn</t>
  </si>
  <si>
    <t>2026-01-02</t>
  </si>
  <si>
    <t>North</t>
  </si>
  <si>
    <t>Google Ads</t>
  </si>
  <si>
    <t>2026-01-03</t>
  </si>
  <si>
    <t>Email</t>
  </si>
  <si>
    <t>2026-01-04</t>
  </si>
  <si>
    <t>South</t>
  </si>
  <si>
    <t>2026-01-05</t>
  </si>
  <si>
    <t>2026-01-06</t>
  </si>
  <si>
    <t>Website</t>
  </si>
  <si>
    <t>2026-01-07</t>
  </si>
  <si>
    <t>2026-01-08</t>
  </si>
  <si>
    <t>East</t>
  </si>
  <si>
    <t>2026-01-09</t>
  </si>
  <si>
    <t>2026-01-10</t>
  </si>
  <si>
    <t>2026-01-11</t>
  </si>
  <si>
    <t>2026-01-12</t>
  </si>
  <si>
    <t>2026-01-13</t>
  </si>
  <si>
    <t>2026-01-14</t>
  </si>
  <si>
    <t>Referral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</si>
  <si>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</si>
  <si>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</si>
  <si>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</si>
  <si>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</si>
  <si>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</si>
  <si>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</si>
  <si>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</si>
  <si>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</si>
  <si>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</si>
  <si>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</si>
  <si>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</si>
  <si>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</si>
  <si>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</si>
  <si>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</si>
  <si>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</si>
  <si>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</si>
  <si>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</si>
  <si>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</si>
  <si>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</si>
  <si>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</si>
  <si>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</si>
  <si>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</si>
  <si>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</si>
  <si>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</si>
  <si>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</si>
  <si>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</si>
  <si>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</si>
  <si>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</si>
  <si>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</si>
  <si>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</si>
  <si>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</si>
  <si>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</si>
  <si>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</si>
  <si>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</si>
  <si>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</si>
  <si>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</si>
  <si>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</si>
  <si>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</si>
  <si>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</si>
  <si>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</si>
  <si>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</si>
  <si>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</si>
  <si>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</si>
  <si>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</si>
  <si>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</si>
  <si>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</si>
  <si>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</si>
  <si>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</si>
  <si>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</si>
  <si>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</si>
  <si>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</si>
  <si>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</si>
  <si>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</si>
  <si>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</si>
  <si>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</si>
  <si>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</si>
  <si>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</si>
  <si>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</si>
  <si>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</si>
  <si>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</si>
  <si>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</si>
  <si>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</si>
  <si>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</si>
  <si>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</si>
  <si>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</si>
  <si>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</si>
  <si>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</si>
  <si>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</si>
  <si>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</si>
  <si>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</si>
  <si>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</si>
  <si>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</si>
  <si>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</si>
  <si>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</si>
  <si>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</si>
  <si>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</si>
  <si>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</si>
  <si>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</si>
  <si>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</si>
  <si>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</si>
  <si>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</si>
  <si>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</si>
  <si>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</si>
  <si>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</si>
  <si>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</si>
  <si>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</si>
  <si>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</si>
  <si>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</si>
  <si>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</si>
  <si>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</si>
  <si>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</si>
  <si>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</si>
  <si>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</si>
  <si>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</si>
  <si>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</si>
  <si>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</si>
  <si>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</si>
  <si>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</si>
  <si>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</si>
  <si>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</si>
  <si>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</si>
  <si>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</si>
  <si>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</si>
  <si>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</si>
  <si>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</si>
  <si>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</si>
  <si>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</si>
  <si>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</si>
  <si>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</si>
  <si>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</si>
  <si>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</si>
  <si>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</si>
  <si>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</si>
  <si>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</si>
  <si>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</si>
  <si>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</si>
  <si>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</si>
  <si>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</si>
  <si>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</si>
  <si>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</si>
  <si>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</si>
  <si>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</si>
  <si>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</si>
  <si>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</si>
  <si>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</si>
  <si>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</si>
  <si>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</si>
  <si>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</si>
  <si>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</si>
  <si>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</si>
  <si>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</si>
  <si>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</si>
  <si>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</si>
  <si>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</si>
  <si>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</si>
  <si>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</si>
  <si>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</si>
  <si>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</si>
  <si>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</si>
  <si>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</si>
  <si>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</si>
  <si>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</si>
  <si>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</si>
  <si>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</si>
  <si>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</si>
  <si>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</si>
  <si>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</si>
  <si>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</si>
  <si>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</si>
  <si>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</si>
  <si>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</si>
  <si>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</si>
  <si>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</si>
  <si>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</si>
  <si>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</si>
  <si>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</si>
  <si>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</si>
  <si>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</si>
  <si>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</si>
  <si>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</si>
  <si>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</si>
  <si>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</si>
  <si>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</si>
  <si>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</si>
  <si>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</si>
  <si>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</si>
  <si>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</si>
  <si>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Conversion Rate</t>
  </si>
  <si>
    <t>win rate</t>
  </si>
  <si>
    <t>revenue per lead</t>
  </si>
  <si>
    <t>cost per lead</t>
  </si>
  <si>
    <t>Cost per 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</si>
</sst>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FED5F-EA5A-4CD7-9CAD-84EFB6B1C923}" name="Table2" displayName="Table2" ref="A1:N201" totalsRowShown="0">
  <autoFilter ref="A1:N201" xr:uid="{7B6FED5F-EA5A-4CD7-9CAD-84EFB6B1C923}"/>
  <tableColumns count="14">
    <tableColumn id="1" xr3:uid="{C0BB0176-309E-4D96-8AB3-73676116241B}" name="Date"/>
    <tableColumn id="2" xr3:uid="{58FA4ACE-0761-4651-8C3F-E62164B7153E}" name="Region"/>
    <tableColumn id="3" xr3:uid="{07B8F7BF-4773-46A4-ADB5-CF12C06068A5}" name="Lead Source"/>
    <tableColumn id="4" xr3:uid="{50F9A6F2-0C42-4A02-9123-133947E4818E}" name="Leads Generated"/>
    <tableColumn id="5" xr3:uid="{20C011E4-4852-4296-8C9B-685CD69A7B18}" name="Demo Calls"/>
    <tableColumn id="6" xr3:uid="{62DCB4C1-6FD4-488D-AF71-25AF3774D6EF}" name="Deals Closed"/>
    <tableColumn id="7" xr3:uid="{0381DDE4-0439-422E-BD4E-A786B5818B34}" name="Revenue"/>
    <tableColumn id="8" xr3:uid="{FABE2AF0-1872-442A-96CF-8B3A605212E5}" name="Marketing Spend"/>
    <tableColumn id="9" xr3:uid="{BE2452DB-2C3E-4826-9E39-0AE0B4C3DC9E}" name="Sales Hours Spent"/>
    <tableColumn id="10" xr3:uid="{21A4FA98-B438-4F5C-A2B9-6114926421A5}" name="Conversion Rate" dataDxfId="4">
      <calculatedColumnFormula>Table2[[#This Row],[Deals Closed]]/Table2[[#This Row],[Leads Generated]]</calculatedColumnFormula>
    </tableColumn>
    <tableColumn id="11" xr3:uid="{CAE89CC4-4BB4-4ACB-847D-4998D948685A}" name="win rate" dataDxfId="3">
      <calculatedColumnFormula>Table2[[#This Row],[Deals Closed]]/Table2[[#This Row],[Demo Calls]]</calculatedColumnFormula>
    </tableColumn>
    <tableColumn id="12" xr3:uid="{450F7966-AC0A-41CD-9987-BF71AEDA1075}" name="revenue per lead" dataDxfId="2">
      <calculatedColumnFormula>Table2[[#This Row],[Revenue]]/Table2[[#This Row],[Leads Generated]]</calculatedColumnFormula>
    </tableColumn>
    <tableColumn id="13" xr3:uid="{2266359A-4B52-4B05-A987-0B2B77609772}" name="cost per lead" dataDxfId="1">
      <calculatedColumnFormula>Table2[[#This Row],[Marketing Spend]]/Table2[[#This Row],[Leads Generated]]</calculatedColumnFormula>
    </tableColumn>
    <tableColumn id="14" xr3:uid="{BFEE9974-6470-4FA1-A258-73A7287D45C3}" name="Cost per Acquisition" dataDxfId="0">
      <calculatedColumnFormula>Table2[[#This Row],[Marketing Spend]]/Table2[[#This Row],[Deals Closed]]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topLeftCell="C1" workbookViewId="0">
      <selection activeCell="P11" sqref="P11"/>
    </sheetView>
  </sheetViews>
  <sheetFormatPr defaultRowHeight="14.4" x14ac:dyDescent="0.3"/>
  <cols>
    <col min="1" max="1" width="10.33203125" bestFit="1" customWidth="1"/>
    <col min="2" max="2" width="8.6640625" customWidth="1"/>
    <col min="3" max="3" width="13.109375" customWidth="1"/>
    <col min="4" max="4" width="16.88671875" customWidth="1"/>
    <col min="5" max="5" width="12.109375" customWidth="1"/>
    <col min="6" max="6" width="13.33203125" customWidth="1"/>
    <col min="7" max="7" width="10.21875" customWidth="1"/>
    <col min="8" max="8" width="17.33203125" customWidth="1"/>
    <col min="9" max="9" width="17.77734375" customWidth="1"/>
    <col min="10" max="10" width="17.21875" style="1" customWidth="1"/>
    <col min="11" max="11" width="13.44140625" style="1" customWidth="1"/>
    <col min="12" max="12" width="17.44140625" style="2" customWidth="1"/>
    <col min="13" max="13" width="15.21875" style="2" customWidth="1"/>
    <col min="14" max="14" width="20.6640625" style="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199</v>
      </c>
      <c r="K1" s="1" t="s">
        <v>200</v>
      </c>
      <c r="L1" s="2" t="s">
        <v>201</v>
      </c>
      <c r="M1" s="2" t="s">
        <v>202</v>
      </c>
      <c r="N1" s="2" t="s">
        <v>203</v>
      </c>
    </row>
    <row r="2" spans="1:14" x14ac:dyDescent="0.3">
      <c r="A2" t="s">
        <v>9</v>
      </c>
      <c r="B2" t="s">
        <v>10</v>
      </c>
      <c r="C2" t="s">
        <v>11</v>
      </c>
      <c r="D2">
        <v>135</v>
      </c>
      <c r="E2">
        <v>70</v>
      </c>
      <c r="F2">
        <v>6</v>
      </c>
      <c r="G2">
        <v>221742</v>
      </c>
      <c r="H2">
        <v>94834</v>
      </c>
      <c r="I2">
        <v>78</v>
      </c>
      <c r="J2" s="1">
        <f>Table2[[#This Row],[Deals Closed]]/Table2[[#This Row],[Leads Generated]]</f>
        <v>4.4444444444444446E-2</v>
      </c>
      <c r="K2" s="1">
        <f>Table2[[#This Row],[Deals Closed]]/Table2[[#This Row],[Demo Calls]]</f>
        <v>8.5714285714285715E-2</v>
      </c>
      <c r="L2" s="2">
        <f>Table2[[#This Row],[Revenue]]/Table2[[#This Row],[Leads Generated]]</f>
        <v>1642.5333333333333</v>
      </c>
      <c r="M2" s="2">
        <f>Table2[[#This Row],[Marketing Spend]]/Table2[[#This Row],[Leads Generated]]</f>
        <v>702.47407407407411</v>
      </c>
      <c r="N2" s="2">
        <f>Table2[[#This Row],[Marketing Spend]]/Table2[[#This Row],[Deals Closed]]</f>
        <v>15805.666666666666</v>
      </c>
    </row>
    <row r="3" spans="1:14" x14ac:dyDescent="0.3">
      <c r="A3" t="s">
        <v>12</v>
      </c>
      <c r="B3" t="s">
        <v>13</v>
      </c>
      <c r="C3" t="s">
        <v>14</v>
      </c>
      <c r="D3">
        <v>98</v>
      </c>
      <c r="E3">
        <v>34</v>
      </c>
      <c r="F3">
        <v>5</v>
      </c>
      <c r="G3">
        <v>229180</v>
      </c>
      <c r="H3">
        <v>125967</v>
      </c>
      <c r="I3">
        <v>44</v>
      </c>
      <c r="J3" s="1">
        <f>Table2[[#This Row],[Deals Closed]]/Table2[[#This Row],[Leads Generated]]</f>
        <v>5.1020408163265307E-2</v>
      </c>
      <c r="K3" s="1">
        <f>Table2[[#This Row],[Deals Closed]]/Table2[[#This Row],[Demo Calls]]</f>
        <v>0.14705882352941177</v>
      </c>
      <c r="L3" s="2">
        <f>Table2[[#This Row],[Revenue]]/Table2[[#This Row],[Leads Generated]]</f>
        <v>2338.5714285714284</v>
      </c>
      <c r="M3" s="2">
        <f>Table2[[#This Row],[Marketing Spend]]/Table2[[#This Row],[Leads Generated]]</f>
        <v>1285.3775510204082</v>
      </c>
      <c r="N3" s="2">
        <f>Table2[[#This Row],[Marketing Spend]]/Table2[[#This Row],[Deals Closed]]</f>
        <v>25193.4</v>
      </c>
    </row>
    <row r="4" spans="1:14" x14ac:dyDescent="0.3">
      <c r="A4" t="s">
        <v>15</v>
      </c>
      <c r="B4" t="s">
        <v>13</v>
      </c>
      <c r="C4" t="s">
        <v>16</v>
      </c>
      <c r="D4">
        <v>152</v>
      </c>
      <c r="E4">
        <v>99</v>
      </c>
      <c r="F4">
        <v>13</v>
      </c>
      <c r="G4">
        <v>530855</v>
      </c>
      <c r="H4">
        <v>120737</v>
      </c>
      <c r="I4">
        <v>79</v>
      </c>
      <c r="J4" s="1">
        <f>Table2[[#This Row],[Deals Closed]]/Table2[[#This Row],[Leads Generated]]</f>
        <v>8.5526315789473686E-2</v>
      </c>
      <c r="K4" s="1">
        <f>Table2[[#This Row],[Deals Closed]]/Table2[[#This Row],[Demo Calls]]</f>
        <v>0.13131313131313133</v>
      </c>
      <c r="L4" s="2">
        <f>Table2[[#This Row],[Revenue]]/Table2[[#This Row],[Leads Generated]]</f>
        <v>3492.4671052631579</v>
      </c>
      <c r="M4" s="2">
        <f>Table2[[#This Row],[Marketing Spend]]/Table2[[#This Row],[Leads Generated]]</f>
        <v>794.3223684210526</v>
      </c>
      <c r="N4" s="2">
        <f>Table2[[#This Row],[Marketing Spend]]/Table2[[#This Row],[Deals Closed]]</f>
        <v>9287.461538461539</v>
      </c>
    </row>
    <row r="5" spans="1:14" x14ac:dyDescent="0.3">
      <c r="A5" t="s">
        <v>17</v>
      </c>
      <c r="B5" t="s">
        <v>18</v>
      </c>
      <c r="C5" t="s">
        <v>14</v>
      </c>
      <c r="D5">
        <v>159</v>
      </c>
      <c r="E5">
        <v>61</v>
      </c>
      <c r="F5">
        <v>4</v>
      </c>
      <c r="G5">
        <v>178472</v>
      </c>
      <c r="H5">
        <v>106290</v>
      </c>
      <c r="I5">
        <v>48</v>
      </c>
      <c r="J5" s="1">
        <f>Table2[[#This Row],[Deals Closed]]/Table2[[#This Row],[Leads Generated]]</f>
        <v>2.5157232704402517E-2</v>
      </c>
      <c r="K5" s="1">
        <f>Table2[[#This Row],[Deals Closed]]/Table2[[#This Row],[Demo Calls]]</f>
        <v>6.5573770491803282E-2</v>
      </c>
      <c r="L5" s="2">
        <f>Table2[[#This Row],[Revenue]]/Table2[[#This Row],[Leads Generated]]</f>
        <v>1122.4654088050315</v>
      </c>
      <c r="M5" s="2">
        <f>Table2[[#This Row],[Marketing Spend]]/Table2[[#This Row],[Leads Generated]]</f>
        <v>668.4905660377359</v>
      </c>
      <c r="N5" s="2">
        <f>Table2[[#This Row],[Marketing Spend]]/Table2[[#This Row],[Deals Closed]]</f>
        <v>26572.5</v>
      </c>
    </row>
    <row r="6" spans="1:14" x14ac:dyDescent="0.3">
      <c r="A6" t="s">
        <v>19</v>
      </c>
      <c r="B6" t="s">
        <v>18</v>
      </c>
      <c r="C6" t="s">
        <v>16</v>
      </c>
      <c r="D6">
        <v>197</v>
      </c>
      <c r="E6">
        <v>96</v>
      </c>
      <c r="F6">
        <v>21</v>
      </c>
      <c r="G6">
        <v>1005774</v>
      </c>
      <c r="H6">
        <v>110057</v>
      </c>
      <c r="I6">
        <v>30</v>
      </c>
      <c r="J6" s="1">
        <f>Table2[[#This Row],[Deals Closed]]/Table2[[#This Row],[Leads Generated]]</f>
        <v>0.1065989847715736</v>
      </c>
      <c r="K6" s="1">
        <f>Table2[[#This Row],[Deals Closed]]/Table2[[#This Row],[Demo Calls]]</f>
        <v>0.21875</v>
      </c>
      <c r="L6" s="2">
        <f>Table2[[#This Row],[Revenue]]/Table2[[#This Row],[Leads Generated]]</f>
        <v>5105.4517766497465</v>
      </c>
      <c r="M6" s="2">
        <f>Table2[[#This Row],[Marketing Spend]]/Table2[[#This Row],[Leads Generated]]</f>
        <v>558.6649746192893</v>
      </c>
      <c r="N6" s="2">
        <f>Table2[[#This Row],[Marketing Spend]]/Table2[[#This Row],[Deals Closed]]</f>
        <v>5240.8095238095239</v>
      </c>
    </row>
    <row r="7" spans="1:14" x14ac:dyDescent="0.3">
      <c r="A7" t="s">
        <v>20</v>
      </c>
      <c r="B7" t="s">
        <v>18</v>
      </c>
      <c r="C7" t="s">
        <v>21</v>
      </c>
      <c r="D7">
        <v>77</v>
      </c>
      <c r="E7">
        <v>39</v>
      </c>
      <c r="F7">
        <v>6</v>
      </c>
      <c r="G7">
        <v>320994</v>
      </c>
      <c r="H7">
        <v>10887</v>
      </c>
      <c r="I7">
        <v>44</v>
      </c>
      <c r="J7" s="1">
        <f>Table2[[#This Row],[Deals Closed]]/Table2[[#This Row],[Leads Generated]]</f>
        <v>7.792207792207792E-2</v>
      </c>
      <c r="K7" s="1">
        <f>Table2[[#This Row],[Deals Closed]]/Table2[[#This Row],[Demo Calls]]</f>
        <v>0.15384615384615385</v>
      </c>
      <c r="L7" s="2">
        <f>Table2[[#This Row],[Revenue]]/Table2[[#This Row],[Leads Generated]]</f>
        <v>4168.7532467532465</v>
      </c>
      <c r="M7" s="2">
        <f>Table2[[#This Row],[Marketing Spend]]/Table2[[#This Row],[Leads Generated]]</f>
        <v>141.3896103896104</v>
      </c>
      <c r="N7" s="2">
        <f>Table2[[#This Row],[Marketing Spend]]/Table2[[#This Row],[Deals Closed]]</f>
        <v>1814.5</v>
      </c>
    </row>
    <row r="8" spans="1:14" x14ac:dyDescent="0.3">
      <c r="A8" t="s">
        <v>22</v>
      </c>
      <c r="B8" t="s">
        <v>10</v>
      </c>
      <c r="C8" t="s">
        <v>21</v>
      </c>
      <c r="D8">
        <v>140</v>
      </c>
      <c r="E8">
        <v>66</v>
      </c>
      <c r="F8">
        <v>12</v>
      </c>
      <c r="G8">
        <v>466452</v>
      </c>
      <c r="H8">
        <v>68561</v>
      </c>
      <c r="I8">
        <v>46</v>
      </c>
      <c r="J8" s="1">
        <f>Table2[[#This Row],[Deals Closed]]/Table2[[#This Row],[Leads Generated]]</f>
        <v>8.5714285714285715E-2</v>
      </c>
      <c r="K8" s="1">
        <f>Table2[[#This Row],[Deals Closed]]/Table2[[#This Row],[Demo Calls]]</f>
        <v>0.18181818181818182</v>
      </c>
      <c r="L8" s="2">
        <f>Table2[[#This Row],[Revenue]]/Table2[[#This Row],[Leads Generated]]</f>
        <v>3331.8</v>
      </c>
      <c r="M8" s="2">
        <f>Table2[[#This Row],[Marketing Spend]]/Table2[[#This Row],[Leads Generated]]</f>
        <v>489.72142857142859</v>
      </c>
      <c r="N8" s="2">
        <f>Table2[[#This Row],[Marketing Spend]]/Table2[[#This Row],[Deals Closed]]</f>
        <v>5713.416666666667</v>
      </c>
    </row>
    <row r="9" spans="1:14" x14ac:dyDescent="0.3">
      <c r="A9" t="s">
        <v>23</v>
      </c>
      <c r="B9" t="s">
        <v>24</v>
      </c>
      <c r="C9" t="s">
        <v>16</v>
      </c>
      <c r="D9">
        <v>143</v>
      </c>
      <c r="E9">
        <v>118</v>
      </c>
      <c r="F9">
        <v>16</v>
      </c>
      <c r="G9">
        <v>647680</v>
      </c>
      <c r="H9">
        <v>57452</v>
      </c>
      <c r="I9">
        <v>28</v>
      </c>
      <c r="J9" s="1">
        <f>Table2[[#This Row],[Deals Closed]]/Table2[[#This Row],[Leads Generated]]</f>
        <v>0.11188811188811189</v>
      </c>
      <c r="K9" s="1">
        <f>Table2[[#This Row],[Deals Closed]]/Table2[[#This Row],[Demo Calls]]</f>
        <v>0.13559322033898305</v>
      </c>
      <c r="L9" s="2">
        <f>Table2[[#This Row],[Revenue]]/Table2[[#This Row],[Leads Generated]]</f>
        <v>4529.2307692307695</v>
      </c>
      <c r="M9" s="2">
        <f>Table2[[#This Row],[Marketing Spend]]/Table2[[#This Row],[Leads Generated]]</f>
        <v>401.76223776223776</v>
      </c>
      <c r="N9" s="2">
        <f>Table2[[#This Row],[Marketing Spend]]/Table2[[#This Row],[Deals Closed]]</f>
        <v>3590.75</v>
      </c>
    </row>
    <row r="10" spans="1:14" x14ac:dyDescent="0.3">
      <c r="A10" t="s">
        <v>25</v>
      </c>
      <c r="B10" t="s">
        <v>10</v>
      </c>
      <c r="C10" t="s">
        <v>11</v>
      </c>
      <c r="D10">
        <v>193</v>
      </c>
      <c r="E10">
        <v>173</v>
      </c>
      <c r="F10">
        <v>27</v>
      </c>
      <c r="G10">
        <v>968841</v>
      </c>
      <c r="H10">
        <v>38267</v>
      </c>
      <c r="I10">
        <v>33</v>
      </c>
      <c r="J10" s="1">
        <f>Table2[[#This Row],[Deals Closed]]/Table2[[#This Row],[Leads Generated]]</f>
        <v>0.13989637305699482</v>
      </c>
      <c r="K10" s="1">
        <f>Table2[[#This Row],[Deals Closed]]/Table2[[#This Row],[Demo Calls]]</f>
        <v>0.15606936416184972</v>
      </c>
      <c r="L10" s="2">
        <f>Table2[[#This Row],[Revenue]]/Table2[[#This Row],[Leads Generated]]</f>
        <v>5019.9015544041449</v>
      </c>
      <c r="M10" s="2">
        <f>Table2[[#This Row],[Marketing Spend]]/Table2[[#This Row],[Leads Generated]]</f>
        <v>198.27461139896374</v>
      </c>
      <c r="N10" s="2">
        <f>Table2[[#This Row],[Marketing Spend]]/Table2[[#This Row],[Deals Closed]]</f>
        <v>1417.2962962962963</v>
      </c>
    </row>
    <row r="11" spans="1:14" x14ac:dyDescent="0.3">
      <c r="A11" t="s">
        <v>26</v>
      </c>
      <c r="B11" t="s">
        <v>24</v>
      </c>
      <c r="C11" t="s">
        <v>11</v>
      </c>
      <c r="D11">
        <v>159</v>
      </c>
      <c r="E11">
        <v>78</v>
      </c>
      <c r="F11">
        <v>7</v>
      </c>
      <c r="G11">
        <v>266819</v>
      </c>
      <c r="H11">
        <v>63166</v>
      </c>
      <c r="I11">
        <v>66</v>
      </c>
      <c r="J11" s="1">
        <f>Table2[[#This Row],[Deals Closed]]/Table2[[#This Row],[Leads Generated]]</f>
        <v>4.40251572327044E-2</v>
      </c>
      <c r="K11" s="1">
        <f>Table2[[#This Row],[Deals Closed]]/Table2[[#This Row],[Demo Calls]]</f>
        <v>8.9743589743589744E-2</v>
      </c>
      <c r="L11" s="2">
        <f>Table2[[#This Row],[Revenue]]/Table2[[#This Row],[Leads Generated]]</f>
        <v>1678.1069182389938</v>
      </c>
      <c r="M11" s="2">
        <f>Table2[[#This Row],[Marketing Spend]]/Table2[[#This Row],[Leads Generated]]</f>
        <v>397.27044025157232</v>
      </c>
      <c r="N11" s="2">
        <f>Table2[[#This Row],[Marketing Spend]]/Table2[[#This Row],[Deals Closed]]</f>
        <v>9023.7142857142862</v>
      </c>
    </row>
    <row r="12" spans="1:14" x14ac:dyDescent="0.3">
      <c r="A12" t="s">
        <v>27</v>
      </c>
      <c r="B12" t="s">
        <v>24</v>
      </c>
      <c r="C12" t="s">
        <v>21</v>
      </c>
      <c r="D12">
        <v>131</v>
      </c>
      <c r="E12">
        <v>129</v>
      </c>
      <c r="F12">
        <v>17</v>
      </c>
      <c r="G12">
        <v>781490</v>
      </c>
      <c r="H12">
        <v>13886</v>
      </c>
      <c r="I12">
        <v>57</v>
      </c>
      <c r="J12" s="1">
        <f>Table2[[#This Row],[Deals Closed]]/Table2[[#This Row],[Leads Generated]]</f>
        <v>0.12977099236641221</v>
      </c>
      <c r="K12" s="1">
        <f>Table2[[#This Row],[Deals Closed]]/Table2[[#This Row],[Demo Calls]]</f>
        <v>0.13178294573643412</v>
      </c>
      <c r="L12" s="2">
        <f>Table2[[#This Row],[Revenue]]/Table2[[#This Row],[Leads Generated]]</f>
        <v>5965.5725190839694</v>
      </c>
      <c r="M12" s="2">
        <f>Table2[[#This Row],[Marketing Spend]]/Table2[[#This Row],[Leads Generated]]</f>
        <v>106</v>
      </c>
      <c r="N12" s="2">
        <f>Table2[[#This Row],[Marketing Spend]]/Table2[[#This Row],[Deals Closed]]</f>
        <v>816.82352941176475</v>
      </c>
    </row>
    <row r="13" spans="1:14" x14ac:dyDescent="0.3">
      <c r="A13" t="s">
        <v>28</v>
      </c>
      <c r="B13" t="s">
        <v>10</v>
      </c>
      <c r="C13" t="s">
        <v>14</v>
      </c>
      <c r="D13">
        <v>139</v>
      </c>
      <c r="E13">
        <v>49</v>
      </c>
      <c r="F13">
        <v>10</v>
      </c>
      <c r="G13">
        <v>378870</v>
      </c>
      <c r="H13">
        <v>80726</v>
      </c>
      <c r="I13">
        <v>48</v>
      </c>
      <c r="J13" s="1">
        <f>Table2[[#This Row],[Deals Closed]]/Table2[[#This Row],[Leads Generated]]</f>
        <v>7.1942446043165464E-2</v>
      </c>
      <c r="K13" s="1">
        <f>Table2[[#This Row],[Deals Closed]]/Table2[[#This Row],[Demo Calls]]</f>
        <v>0.20408163265306123</v>
      </c>
      <c r="L13" s="2">
        <f>Table2[[#This Row],[Revenue]]/Table2[[#This Row],[Leads Generated]]</f>
        <v>2725.68345323741</v>
      </c>
      <c r="M13" s="2">
        <f>Table2[[#This Row],[Marketing Spend]]/Table2[[#This Row],[Leads Generated]]</f>
        <v>580.76258992805754</v>
      </c>
      <c r="N13" s="2">
        <f>Table2[[#This Row],[Marketing Spend]]/Table2[[#This Row],[Deals Closed]]</f>
        <v>8072.6</v>
      </c>
    </row>
    <row r="14" spans="1:14" x14ac:dyDescent="0.3">
      <c r="A14" t="s">
        <v>29</v>
      </c>
      <c r="B14" t="s">
        <v>18</v>
      </c>
      <c r="C14" t="s">
        <v>14</v>
      </c>
      <c r="D14">
        <v>79</v>
      </c>
      <c r="E14">
        <v>70</v>
      </c>
      <c r="F14">
        <v>6</v>
      </c>
      <c r="G14">
        <v>309444</v>
      </c>
      <c r="H14">
        <v>61581</v>
      </c>
      <c r="I14">
        <v>72</v>
      </c>
      <c r="J14" s="1">
        <f>Table2[[#This Row],[Deals Closed]]/Table2[[#This Row],[Leads Generated]]</f>
        <v>7.5949367088607597E-2</v>
      </c>
      <c r="K14" s="1">
        <f>Table2[[#This Row],[Deals Closed]]/Table2[[#This Row],[Demo Calls]]</f>
        <v>8.5714285714285715E-2</v>
      </c>
      <c r="L14" s="2">
        <f>Table2[[#This Row],[Revenue]]/Table2[[#This Row],[Leads Generated]]</f>
        <v>3917.0126582278481</v>
      </c>
      <c r="M14" s="2">
        <f>Table2[[#This Row],[Marketing Spend]]/Table2[[#This Row],[Leads Generated]]</f>
        <v>779.50632911392404</v>
      </c>
      <c r="N14" s="2">
        <f>Table2[[#This Row],[Marketing Spend]]/Table2[[#This Row],[Deals Closed]]</f>
        <v>10263.5</v>
      </c>
    </row>
    <row r="15" spans="1:14" x14ac:dyDescent="0.3">
      <c r="A15" t="s">
        <v>30</v>
      </c>
      <c r="B15" t="s">
        <v>18</v>
      </c>
      <c r="C15" t="s">
        <v>31</v>
      </c>
      <c r="D15">
        <v>174</v>
      </c>
      <c r="E15">
        <v>131</v>
      </c>
      <c r="F15">
        <v>27</v>
      </c>
      <c r="G15">
        <v>966168</v>
      </c>
      <c r="H15">
        <v>105800</v>
      </c>
      <c r="I15">
        <v>58</v>
      </c>
      <c r="J15" s="1">
        <f>Table2[[#This Row],[Deals Closed]]/Table2[[#This Row],[Leads Generated]]</f>
        <v>0.15517241379310345</v>
      </c>
      <c r="K15" s="1">
        <f>Table2[[#This Row],[Deals Closed]]/Table2[[#This Row],[Demo Calls]]</f>
        <v>0.20610687022900764</v>
      </c>
      <c r="L15" s="2">
        <f>Table2[[#This Row],[Revenue]]/Table2[[#This Row],[Leads Generated]]</f>
        <v>5552.6896551724139</v>
      </c>
      <c r="M15" s="2">
        <f>Table2[[#This Row],[Marketing Spend]]/Table2[[#This Row],[Leads Generated]]</f>
        <v>608.0459770114943</v>
      </c>
      <c r="N15" s="2">
        <f>Table2[[#This Row],[Marketing Spend]]/Table2[[#This Row],[Deals Closed]]</f>
        <v>3918.5185185185187</v>
      </c>
    </row>
    <row r="16" spans="1:14" x14ac:dyDescent="0.3">
      <c r="A16" t="s">
        <v>32</v>
      </c>
      <c r="B16" t="s">
        <v>18</v>
      </c>
      <c r="C16" t="s">
        <v>16</v>
      </c>
      <c r="D16">
        <v>139</v>
      </c>
      <c r="E16">
        <v>98</v>
      </c>
      <c r="F16">
        <v>19</v>
      </c>
      <c r="G16">
        <v>681663</v>
      </c>
      <c r="H16">
        <v>122057</v>
      </c>
      <c r="I16">
        <v>53</v>
      </c>
      <c r="J16" s="1">
        <f>Table2[[#This Row],[Deals Closed]]/Table2[[#This Row],[Leads Generated]]</f>
        <v>0.1366906474820144</v>
      </c>
      <c r="K16" s="1">
        <f>Table2[[#This Row],[Deals Closed]]/Table2[[#This Row],[Demo Calls]]</f>
        <v>0.19387755102040816</v>
      </c>
      <c r="L16" s="2">
        <f>Table2[[#This Row],[Revenue]]/Table2[[#This Row],[Leads Generated]]</f>
        <v>4904.0503597122306</v>
      </c>
      <c r="M16" s="2">
        <f>Table2[[#This Row],[Marketing Spend]]/Table2[[#This Row],[Leads Generated]]</f>
        <v>878.10791366906471</v>
      </c>
      <c r="N16" s="2">
        <f>Table2[[#This Row],[Marketing Spend]]/Table2[[#This Row],[Deals Closed]]</f>
        <v>6424.0526315789475</v>
      </c>
    </row>
    <row r="17" spans="1:14" x14ac:dyDescent="0.3">
      <c r="A17" t="s">
        <v>33</v>
      </c>
      <c r="B17" t="s">
        <v>10</v>
      </c>
      <c r="C17" t="s">
        <v>14</v>
      </c>
      <c r="D17">
        <v>113</v>
      </c>
      <c r="E17">
        <v>55</v>
      </c>
      <c r="F17">
        <v>5</v>
      </c>
      <c r="G17">
        <v>244960</v>
      </c>
      <c r="H17">
        <v>25418</v>
      </c>
      <c r="I17">
        <v>44</v>
      </c>
      <c r="J17" s="1">
        <f>Table2[[#This Row],[Deals Closed]]/Table2[[#This Row],[Leads Generated]]</f>
        <v>4.4247787610619468E-2</v>
      </c>
      <c r="K17" s="1">
        <f>Table2[[#This Row],[Deals Closed]]/Table2[[#This Row],[Demo Calls]]</f>
        <v>9.0909090909090912E-2</v>
      </c>
      <c r="L17" s="2">
        <f>Table2[[#This Row],[Revenue]]/Table2[[#This Row],[Leads Generated]]</f>
        <v>2167.787610619469</v>
      </c>
      <c r="M17" s="2">
        <f>Table2[[#This Row],[Marketing Spend]]/Table2[[#This Row],[Leads Generated]]</f>
        <v>224.93805309734512</v>
      </c>
      <c r="N17" s="2">
        <f>Table2[[#This Row],[Marketing Spend]]/Table2[[#This Row],[Deals Closed]]</f>
        <v>5083.6000000000004</v>
      </c>
    </row>
    <row r="18" spans="1:14" x14ac:dyDescent="0.3">
      <c r="A18" t="s">
        <v>34</v>
      </c>
      <c r="B18" t="s">
        <v>13</v>
      </c>
      <c r="C18" t="s">
        <v>14</v>
      </c>
      <c r="D18">
        <v>130</v>
      </c>
      <c r="E18">
        <v>86</v>
      </c>
      <c r="F18">
        <v>14</v>
      </c>
      <c r="G18">
        <v>669102</v>
      </c>
      <c r="H18">
        <v>85730</v>
      </c>
      <c r="I18">
        <v>76</v>
      </c>
      <c r="J18" s="1">
        <f>Table2[[#This Row],[Deals Closed]]/Table2[[#This Row],[Leads Generated]]</f>
        <v>0.1076923076923077</v>
      </c>
      <c r="K18" s="1">
        <f>Table2[[#This Row],[Deals Closed]]/Table2[[#This Row],[Demo Calls]]</f>
        <v>0.16279069767441862</v>
      </c>
      <c r="L18" s="2">
        <f>Table2[[#This Row],[Revenue]]/Table2[[#This Row],[Leads Generated]]</f>
        <v>5146.9384615384615</v>
      </c>
      <c r="M18" s="2">
        <f>Table2[[#This Row],[Marketing Spend]]/Table2[[#This Row],[Leads Generated]]</f>
        <v>659.46153846153845</v>
      </c>
      <c r="N18" s="2">
        <f>Table2[[#This Row],[Marketing Spend]]/Table2[[#This Row],[Deals Closed]]</f>
        <v>6123.5714285714284</v>
      </c>
    </row>
    <row r="19" spans="1:14" x14ac:dyDescent="0.3">
      <c r="A19" t="s">
        <v>35</v>
      </c>
      <c r="B19" t="s">
        <v>10</v>
      </c>
      <c r="C19" t="s">
        <v>16</v>
      </c>
      <c r="D19">
        <v>159</v>
      </c>
      <c r="E19">
        <v>127</v>
      </c>
      <c r="F19">
        <v>14</v>
      </c>
      <c r="G19">
        <v>547064</v>
      </c>
      <c r="H19">
        <v>89102</v>
      </c>
      <c r="I19">
        <v>35</v>
      </c>
      <c r="J19" s="1">
        <f>Table2[[#This Row],[Deals Closed]]/Table2[[#This Row],[Leads Generated]]</f>
        <v>8.8050314465408799E-2</v>
      </c>
      <c r="K19" s="1">
        <f>Table2[[#This Row],[Deals Closed]]/Table2[[#This Row],[Demo Calls]]</f>
        <v>0.11023622047244094</v>
      </c>
      <c r="L19" s="2">
        <f>Table2[[#This Row],[Revenue]]/Table2[[#This Row],[Leads Generated]]</f>
        <v>3440.6540880503144</v>
      </c>
      <c r="M19" s="2">
        <f>Table2[[#This Row],[Marketing Spend]]/Table2[[#This Row],[Leads Generated]]</f>
        <v>560.38993710691818</v>
      </c>
      <c r="N19" s="2">
        <f>Table2[[#This Row],[Marketing Spend]]/Table2[[#This Row],[Deals Closed]]</f>
        <v>6364.4285714285716</v>
      </c>
    </row>
    <row r="20" spans="1:14" x14ac:dyDescent="0.3">
      <c r="A20" t="s">
        <v>36</v>
      </c>
      <c r="B20" t="s">
        <v>10</v>
      </c>
      <c r="C20" t="s">
        <v>21</v>
      </c>
      <c r="D20">
        <v>151</v>
      </c>
      <c r="E20">
        <v>105</v>
      </c>
      <c r="F20">
        <v>19</v>
      </c>
      <c r="G20">
        <v>903868</v>
      </c>
      <c r="H20">
        <v>60813</v>
      </c>
      <c r="I20">
        <v>65</v>
      </c>
      <c r="J20" s="1">
        <f>Table2[[#This Row],[Deals Closed]]/Table2[[#This Row],[Leads Generated]]</f>
        <v>0.12582781456953643</v>
      </c>
      <c r="K20" s="1">
        <f>Table2[[#This Row],[Deals Closed]]/Table2[[#This Row],[Demo Calls]]</f>
        <v>0.18095238095238095</v>
      </c>
      <c r="L20" s="2">
        <f>Table2[[#This Row],[Revenue]]/Table2[[#This Row],[Leads Generated]]</f>
        <v>5985.8807947019868</v>
      </c>
      <c r="M20" s="2">
        <f>Table2[[#This Row],[Marketing Spend]]/Table2[[#This Row],[Leads Generated]]</f>
        <v>402.73509933774835</v>
      </c>
      <c r="N20" s="2">
        <f>Table2[[#This Row],[Marketing Spend]]/Table2[[#This Row],[Deals Closed]]</f>
        <v>3200.6842105263158</v>
      </c>
    </row>
    <row r="21" spans="1:14" x14ac:dyDescent="0.3">
      <c r="A21" t="s">
        <v>37</v>
      </c>
      <c r="B21" t="s">
        <v>10</v>
      </c>
      <c r="C21" t="s">
        <v>31</v>
      </c>
      <c r="D21">
        <v>125</v>
      </c>
      <c r="E21">
        <v>103</v>
      </c>
      <c r="F21">
        <v>19</v>
      </c>
      <c r="G21">
        <v>803225</v>
      </c>
      <c r="H21">
        <v>56802</v>
      </c>
      <c r="I21">
        <v>56</v>
      </c>
      <c r="J21" s="1">
        <f>Table2[[#This Row],[Deals Closed]]/Table2[[#This Row],[Leads Generated]]</f>
        <v>0.152</v>
      </c>
      <c r="K21" s="1">
        <f>Table2[[#This Row],[Deals Closed]]/Table2[[#This Row],[Demo Calls]]</f>
        <v>0.18446601941747573</v>
      </c>
      <c r="L21" s="2">
        <f>Table2[[#This Row],[Revenue]]/Table2[[#This Row],[Leads Generated]]</f>
        <v>6425.8</v>
      </c>
      <c r="M21" s="2">
        <f>Table2[[#This Row],[Marketing Spend]]/Table2[[#This Row],[Leads Generated]]</f>
        <v>454.416</v>
      </c>
      <c r="N21" s="2">
        <f>Table2[[#This Row],[Marketing Spend]]/Table2[[#This Row],[Deals Closed]]</f>
        <v>2989.5789473684213</v>
      </c>
    </row>
    <row r="22" spans="1:14" x14ac:dyDescent="0.3">
      <c r="A22" t="s">
        <v>38</v>
      </c>
      <c r="B22" t="s">
        <v>13</v>
      </c>
      <c r="C22" t="s">
        <v>21</v>
      </c>
      <c r="D22">
        <v>194</v>
      </c>
      <c r="E22">
        <v>179</v>
      </c>
      <c r="F22">
        <v>17</v>
      </c>
      <c r="G22">
        <v>917218</v>
      </c>
      <c r="H22">
        <v>130591</v>
      </c>
      <c r="I22">
        <v>53</v>
      </c>
      <c r="J22" s="1">
        <f>Table2[[#This Row],[Deals Closed]]/Table2[[#This Row],[Leads Generated]]</f>
        <v>8.7628865979381437E-2</v>
      </c>
      <c r="K22" s="1">
        <f>Table2[[#This Row],[Deals Closed]]/Table2[[#This Row],[Demo Calls]]</f>
        <v>9.4972067039106142E-2</v>
      </c>
      <c r="L22" s="2">
        <f>Table2[[#This Row],[Revenue]]/Table2[[#This Row],[Leads Generated]]</f>
        <v>4727.927835051546</v>
      </c>
      <c r="M22" s="2">
        <f>Table2[[#This Row],[Marketing Spend]]/Table2[[#This Row],[Leads Generated]]</f>
        <v>673.14948453608247</v>
      </c>
      <c r="N22" s="2">
        <f>Table2[[#This Row],[Marketing Spend]]/Table2[[#This Row],[Deals Closed]]</f>
        <v>7681.8235294117649</v>
      </c>
    </row>
    <row r="23" spans="1:14" x14ac:dyDescent="0.3">
      <c r="A23" t="s">
        <v>39</v>
      </c>
      <c r="B23" t="s">
        <v>24</v>
      </c>
      <c r="C23" t="s">
        <v>14</v>
      </c>
      <c r="D23">
        <v>151</v>
      </c>
      <c r="E23">
        <v>121</v>
      </c>
      <c r="F23">
        <v>22</v>
      </c>
      <c r="G23">
        <v>911394</v>
      </c>
      <c r="H23">
        <v>145296</v>
      </c>
      <c r="I23">
        <v>28</v>
      </c>
      <c r="J23" s="1">
        <f>Table2[[#This Row],[Deals Closed]]/Table2[[#This Row],[Leads Generated]]</f>
        <v>0.14569536423841059</v>
      </c>
      <c r="K23" s="1">
        <f>Table2[[#This Row],[Deals Closed]]/Table2[[#This Row],[Demo Calls]]</f>
        <v>0.18181818181818182</v>
      </c>
      <c r="L23" s="2">
        <f>Table2[[#This Row],[Revenue]]/Table2[[#This Row],[Leads Generated]]</f>
        <v>6035.7218543046356</v>
      </c>
      <c r="M23" s="2">
        <f>Table2[[#This Row],[Marketing Spend]]/Table2[[#This Row],[Leads Generated]]</f>
        <v>962.22516556291396</v>
      </c>
      <c r="N23" s="2">
        <f>Table2[[#This Row],[Marketing Spend]]/Table2[[#This Row],[Deals Closed]]</f>
        <v>6604.363636363636</v>
      </c>
    </row>
    <row r="24" spans="1:14" x14ac:dyDescent="0.3">
      <c r="A24" t="s">
        <v>40</v>
      </c>
      <c r="B24" t="s">
        <v>24</v>
      </c>
      <c r="C24" t="s">
        <v>14</v>
      </c>
      <c r="D24">
        <v>62</v>
      </c>
      <c r="E24">
        <v>48</v>
      </c>
      <c r="F24">
        <v>3</v>
      </c>
      <c r="G24">
        <v>145128</v>
      </c>
      <c r="H24">
        <v>102862</v>
      </c>
      <c r="I24">
        <v>78</v>
      </c>
      <c r="J24" s="1">
        <f>Table2[[#This Row],[Deals Closed]]/Table2[[#This Row],[Leads Generated]]</f>
        <v>4.8387096774193547E-2</v>
      </c>
      <c r="K24" s="1">
        <f>Table2[[#This Row],[Deals Closed]]/Table2[[#This Row],[Demo Calls]]</f>
        <v>6.25E-2</v>
      </c>
      <c r="L24" s="2">
        <f>Table2[[#This Row],[Revenue]]/Table2[[#This Row],[Leads Generated]]</f>
        <v>2340.7741935483873</v>
      </c>
      <c r="M24" s="2">
        <f>Table2[[#This Row],[Marketing Spend]]/Table2[[#This Row],[Leads Generated]]</f>
        <v>1659.0645161290322</v>
      </c>
      <c r="N24" s="2">
        <f>Table2[[#This Row],[Marketing Spend]]/Table2[[#This Row],[Deals Closed]]</f>
        <v>34287.333333333336</v>
      </c>
    </row>
    <row r="25" spans="1:14" x14ac:dyDescent="0.3">
      <c r="A25" t="s">
        <v>41</v>
      </c>
      <c r="B25" t="s">
        <v>24</v>
      </c>
      <c r="C25" t="s">
        <v>31</v>
      </c>
      <c r="D25">
        <v>189</v>
      </c>
      <c r="E25">
        <v>177</v>
      </c>
      <c r="F25">
        <v>14</v>
      </c>
      <c r="G25">
        <v>622608</v>
      </c>
      <c r="H25">
        <v>140957</v>
      </c>
      <c r="I25">
        <v>25</v>
      </c>
      <c r="J25" s="1">
        <f>Table2[[#This Row],[Deals Closed]]/Table2[[#This Row],[Leads Generated]]</f>
        <v>7.407407407407407E-2</v>
      </c>
      <c r="K25" s="1">
        <f>Table2[[#This Row],[Deals Closed]]/Table2[[#This Row],[Demo Calls]]</f>
        <v>7.909604519774012E-2</v>
      </c>
      <c r="L25" s="2">
        <f>Table2[[#This Row],[Revenue]]/Table2[[#This Row],[Leads Generated]]</f>
        <v>3294.2222222222222</v>
      </c>
      <c r="M25" s="2">
        <f>Table2[[#This Row],[Marketing Spend]]/Table2[[#This Row],[Leads Generated]]</f>
        <v>745.80423280423281</v>
      </c>
      <c r="N25" s="2">
        <f>Table2[[#This Row],[Marketing Spend]]/Table2[[#This Row],[Deals Closed]]</f>
        <v>10068.357142857143</v>
      </c>
    </row>
    <row r="26" spans="1:14" x14ac:dyDescent="0.3">
      <c r="A26" t="s">
        <v>42</v>
      </c>
      <c r="B26" t="s">
        <v>10</v>
      </c>
      <c r="C26" t="s">
        <v>11</v>
      </c>
      <c r="D26">
        <v>159</v>
      </c>
      <c r="E26">
        <v>90</v>
      </c>
      <c r="F26">
        <v>18</v>
      </c>
      <c r="G26">
        <v>699354</v>
      </c>
      <c r="H26">
        <v>31584</v>
      </c>
      <c r="I26">
        <v>64</v>
      </c>
      <c r="J26" s="1">
        <f>Table2[[#This Row],[Deals Closed]]/Table2[[#This Row],[Leads Generated]]</f>
        <v>0.11320754716981132</v>
      </c>
      <c r="K26" s="1">
        <f>Table2[[#This Row],[Deals Closed]]/Table2[[#This Row],[Demo Calls]]</f>
        <v>0.2</v>
      </c>
      <c r="L26" s="2">
        <f>Table2[[#This Row],[Revenue]]/Table2[[#This Row],[Leads Generated]]</f>
        <v>4398.4528301886794</v>
      </c>
      <c r="M26" s="2">
        <f>Table2[[#This Row],[Marketing Spend]]/Table2[[#This Row],[Leads Generated]]</f>
        <v>198.64150943396226</v>
      </c>
      <c r="N26" s="2">
        <f>Table2[[#This Row],[Marketing Spend]]/Table2[[#This Row],[Deals Closed]]</f>
        <v>1754.6666666666667</v>
      </c>
    </row>
    <row r="27" spans="1:14" x14ac:dyDescent="0.3">
      <c r="A27" t="s">
        <v>43</v>
      </c>
      <c r="B27" t="s">
        <v>18</v>
      </c>
      <c r="C27" t="s">
        <v>11</v>
      </c>
      <c r="D27">
        <v>110</v>
      </c>
      <c r="E27">
        <v>56</v>
      </c>
      <c r="F27">
        <v>12</v>
      </c>
      <c r="G27">
        <v>572244</v>
      </c>
      <c r="H27">
        <v>137483</v>
      </c>
      <c r="I27">
        <v>21</v>
      </c>
      <c r="J27" s="1">
        <f>Table2[[#This Row],[Deals Closed]]/Table2[[#This Row],[Leads Generated]]</f>
        <v>0.10909090909090909</v>
      </c>
      <c r="K27" s="1">
        <f>Table2[[#This Row],[Deals Closed]]/Table2[[#This Row],[Demo Calls]]</f>
        <v>0.21428571428571427</v>
      </c>
      <c r="L27" s="2">
        <f>Table2[[#This Row],[Revenue]]/Table2[[#This Row],[Leads Generated]]</f>
        <v>5202.2181818181816</v>
      </c>
      <c r="M27" s="2">
        <f>Table2[[#This Row],[Marketing Spend]]/Table2[[#This Row],[Leads Generated]]</f>
        <v>1249.8454545454545</v>
      </c>
      <c r="N27" s="2">
        <f>Table2[[#This Row],[Marketing Spend]]/Table2[[#This Row],[Deals Closed]]</f>
        <v>11456.916666666666</v>
      </c>
    </row>
    <row r="28" spans="1:14" x14ac:dyDescent="0.3">
      <c r="A28" t="s">
        <v>44</v>
      </c>
      <c r="B28" t="s">
        <v>13</v>
      </c>
      <c r="C28" t="s">
        <v>16</v>
      </c>
      <c r="D28">
        <v>120</v>
      </c>
      <c r="E28">
        <v>89</v>
      </c>
      <c r="F28">
        <v>17</v>
      </c>
      <c r="G28">
        <v>925667</v>
      </c>
      <c r="H28">
        <v>14567</v>
      </c>
      <c r="I28">
        <v>36</v>
      </c>
      <c r="J28" s="1">
        <f>Table2[[#This Row],[Deals Closed]]/Table2[[#This Row],[Leads Generated]]</f>
        <v>0.14166666666666666</v>
      </c>
      <c r="K28" s="1">
        <f>Table2[[#This Row],[Deals Closed]]/Table2[[#This Row],[Demo Calls]]</f>
        <v>0.19101123595505617</v>
      </c>
      <c r="L28" s="2">
        <f>Table2[[#This Row],[Revenue]]/Table2[[#This Row],[Leads Generated]]</f>
        <v>7713.8916666666664</v>
      </c>
      <c r="M28" s="2">
        <f>Table2[[#This Row],[Marketing Spend]]/Table2[[#This Row],[Leads Generated]]</f>
        <v>121.39166666666667</v>
      </c>
      <c r="N28" s="2">
        <f>Table2[[#This Row],[Marketing Spend]]/Table2[[#This Row],[Deals Closed]]</f>
        <v>856.88235294117646</v>
      </c>
    </row>
    <row r="29" spans="1:14" x14ac:dyDescent="0.3">
      <c r="A29" t="s">
        <v>45</v>
      </c>
      <c r="B29" t="s">
        <v>24</v>
      </c>
      <c r="C29" t="s">
        <v>14</v>
      </c>
      <c r="D29">
        <v>87</v>
      </c>
      <c r="E29">
        <v>47</v>
      </c>
      <c r="F29">
        <v>6</v>
      </c>
      <c r="G29">
        <v>235026</v>
      </c>
      <c r="H29">
        <v>95636</v>
      </c>
      <c r="I29">
        <v>30</v>
      </c>
      <c r="J29" s="1">
        <f>Table2[[#This Row],[Deals Closed]]/Table2[[#This Row],[Leads Generated]]</f>
        <v>6.8965517241379309E-2</v>
      </c>
      <c r="K29" s="1">
        <f>Table2[[#This Row],[Deals Closed]]/Table2[[#This Row],[Demo Calls]]</f>
        <v>0.1276595744680851</v>
      </c>
      <c r="L29" s="2">
        <f>Table2[[#This Row],[Revenue]]/Table2[[#This Row],[Leads Generated]]</f>
        <v>2701.4482758620688</v>
      </c>
      <c r="M29" s="2">
        <f>Table2[[#This Row],[Marketing Spend]]/Table2[[#This Row],[Leads Generated]]</f>
        <v>1099.2643678160919</v>
      </c>
      <c r="N29" s="2">
        <f>Table2[[#This Row],[Marketing Spend]]/Table2[[#This Row],[Deals Closed]]</f>
        <v>15939.333333333334</v>
      </c>
    </row>
    <row r="30" spans="1:14" x14ac:dyDescent="0.3">
      <c r="A30" t="s">
        <v>46</v>
      </c>
      <c r="B30" t="s">
        <v>10</v>
      </c>
      <c r="C30" t="s">
        <v>31</v>
      </c>
      <c r="D30">
        <v>86</v>
      </c>
      <c r="E30">
        <v>60</v>
      </c>
      <c r="F30">
        <v>6</v>
      </c>
      <c r="G30">
        <v>216930</v>
      </c>
      <c r="H30">
        <v>72806</v>
      </c>
      <c r="I30">
        <v>61</v>
      </c>
      <c r="J30" s="1">
        <f>Table2[[#This Row],[Deals Closed]]/Table2[[#This Row],[Leads Generated]]</f>
        <v>6.9767441860465115E-2</v>
      </c>
      <c r="K30" s="1">
        <f>Table2[[#This Row],[Deals Closed]]/Table2[[#This Row],[Demo Calls]]</f>
        <v>0.1</v>
      </c>
      <c r="L30" s="2">
        <f>Table2[[#This Row],[Revenue]]/Table2[[#This Row],[Leads Generated]]</f>
        <v>2522.4418604651164</v>
      </c>
      <c r="M30" s="2">
        <f>Table2[[#This Row],[Marketing Spend]]/Table2[[#This Row],[Leads Generated]]</f>
        <v>846.58139534883719</v>
      </c>
      <c r="N30" s="2">
        <f>Table2[[#This Row],[Marketing Spend]]/Table2[[#This Row],[Deals Closed]]</f>
        <v>12134.333333333334</v>
      </c>
    </row>
    <row r="31" spans="1:14" x14ac:dyDescent="0.3">
      <c r="A31" t="s">
        <v>47</v>
      </c>
      <c r="B31" t="s">
        <v>10</v>
      </c>
      <c r="C31" t="s">
        <v>16</v>
      </c>
      <c r="D31">
        <v>191</v>
      </c>
      <c r="E31">
        <v>163</v>
      </c>
      <c r="F31">
        <v>28</v>
      </c>
      <c r="G31">
        <v>1018248</v>
      </c>
      <c r="H31">
        <v>148565</v>
      </c>
      <c r="I31">
        <v>40</v>
      </c>
      <c r="J31" s="1">
        <f>Table2[[#This Row],[Deals Closed]]/Table2[[#This Row],[Leads Generated]]</f>
        <v>0.14659685863874344</v>
      </c>
      <c r="K31" s="1">
        <f>Table2[[#This Row],[Deals Closed]]/Table2[[#This Row],[Demo Calls]]</f>
        <v>0.17177914110429449</v>
      </c>
      <c r="L31" s="2">
        <f>Table2[[#This Row],[Revenue]]/Table2[[#This Row],[Leads Generated]]</f>
        <v>5331.1413612565448</v>
      </c>
      <c r="M31" s="2">
        <f>Table2[[#This Row],[Marketing Spend]]/Table2[[#This Row],[Leads Generated]]</f>
        <v>777.82722513089004</v>
      </c>
      <c r="N31" s="2">
        <f>Table2[[#This Row],[Marketing Spend]]/Table2[[#This Row],[Deals Closed]]</f>
        <v>5305.8928571428569</v>
      </c>
    </row>
    <row r="32" spans="1:14" x14ac:dyDescent="0.3">
      <c r="A32" t="s">
        <v>48</v>
      </c>
      <c r="B32" t="s">
        <v>24</v>
      </c>
      <c r="C32" t="s">
        <v>31</v>
      </c>
      <c r="D32">
        <v>75</v>
      </c>
      <c r="E32">
        <v>41</v>
      </c>
      <c r="F32">
        <v>7</v>
      </c>
      <c r="G32">
        <v>333158</v>
      </c>
      <c r="H32">
        <v>120396</v>
      </c>
      <c r="I32">
        <v>80</v>
      </c>
      <c r="J32" s="1">
        <f>Table2[[#This Row],[Deals Closed]]/Table2[[#This Row],[Leads Generated]]</f>
        <v>9.3333333333333338E-2</v>
      </c>
      <c r="K32" s="1">
        <f>Table2[[#This Row],[Deals Closed]]/Table2[[#This Row],[Demo Calls]]</f>
        <v>0.17073170731707318</v>
      </c>
      <c r="L32" s="2">
        <f>Table2[[#This Row],[Revenue]]/Table2[[#This Row],[Leads Generated]]</f>
        <v>4442.1066666666666</v>
      </c>
      <c r="M32" s="2">
        <f>Table2[[#This Row],[Marketing Spend]]/Table2[[#This Row],[Leads Generated]]</f>
        <v>1605.28</v>
      </c>
      <c r="N32" s="2">
        <f>Table2[[#This Row],[Marketing Spend]]/Table2[[#This Row],[Deals Closed]]</f>
        <v>17199.428571428572</v>
      </c>
    </row>
    <row r="33" spans="1:14" x14ac:dyDescent="0.3">
      <c r="A33" t="s">
        <v>49</v>
      </c>
      <c r="B33" t="s">
        <v>13</v>
      </c>
      <c r="C33" t="s">
        <v>16</v>
      </c>
      <c r="D33">
        <v>88</v>
      </c>
      <c r="E33">
        <v>66</v>
      </c>
      <c r="F33">
        <v>14</v>
      </c>
      <c r="G33">
        <v>767900</v>
      </c>
      <c r="H33">
        <v>143029</v>
      </c>
      <c r="I33">
        <v>65</v>
      </c>
      <c r="J33" s="1">
        <f>Table2[[#This Row],[Deals Closed]]/Table2[[#This Row],[Leads Generated]]</f>
        <v>0.15909090909090909</v>
      </c>
      <c r="K33" s="1">
        <f>Table2[[#This Row],[Deals Closed]]/Table2[[#This Row],[Demo Calls]]</f>
        <v>0.21212121212121213</v>
      </c>
      <c r="L33" s="2">
        <f>Table2[[#This Row],[Revenue]]/Table2[[#This Row],[Leads Generated]]</f>
        <v>8726.136363636364</v>
      </c>
      <c r="M33" s="2">
        <f>Table2[[#This Row],[Marketing Spend]]/Table2[[#This Row],[Leads Generated]]</f>
        <v>1625.3295454545455</v>
      </c>
      <c r="N33" s="2">
        <f>Table2[[#This Row],[Marketing Spend]]/Table2[[#This Row],[Deals Closed]]</f>
        <v>10216.357142857143</v>
      </c>
    </row>
    <row r="34" spans="1:14" x14ac:dyDescent="0.3">
      <c r="A34" t="s">
        <v>50</v>
      </c>
      <c r="B34" t="s">
        <v>10</v>
      </c>
      <c r="C34" t="s">
        <v>31</v>
      </c>
      <c r="D34">
        <v>86</v>
      </c>
      <c r="E34">
        <v>63</v>
      </c>
      <c r="F34">
        <v>12</v>
      </c>
      <c r="G34">
        <v>442344</v>
      </c>
      <c r="H34">
        <v>32743</v>
      </c>
      <c r="I34">
        <v>69</v>
      </c>
      <c r="J34" s="1">
        <f>Table2[[#This Row],[Deals Closed]]/Table2[[#This Row],[Leads Generated]]</f>
        <v>0.13953488372093023</v>
      </c>
      <c r="K34" s="1">
        <f>Table2[[#This Row],[Deals Closed]]/Table2[[#This Row],[Demo Calls]]</f>
        <v>0.19047619047619047</v>
      </c>
      <c r="L34" s="2">
        <f>Table2[[#This Row],[Revenue]]/Table2[[#This Row],[Leads Generated]]</f>
        <v>5143.5348837209303</v>
      </c>
      <c r="M34" s="2">
        <f>Table2[[#This Row],[Marketing Spend]]/Table2[[#This Row],[Leads Generated]]</f>
        <v>380.73255813953489</v>
      </c>
      <c r="N34" s="2">
        <f>Table2[[#This Row],[Marketing Spend]]/Table2[[#This Row],[Deals Closed]]</f>
        <v>2728.5833333333335</v>
      </c>
    </row>
    <row r="35" spans="1:14" x14ac:dyDescent="0.3">
      <c r="A35" t="s">
        <v>51</v>
      </c>
      <c r="B35" t="s">
        <v>18</v>
      </c>
      <c r="C35" t="s">
        <v>21</v>
      </c>
      <c r="D35">
        <v>134</v>
      </c>
      <c r="E35">
        <v>124</v>
      </c>
      <c r="F35">
        <v>21</v>
      </c>
      <c r="G35">
        <v>1093680</v>
      </c>
      <c r="H35">
        <v>120891</v>
      </c>
      <c r="I35">
        <v>75</v>
      </c>
      <c r="J35" s="1">
        <f>Table2[[#This Row],[Deals Closed]]/Table2[[#This Row],[Leads Generated]]</f>
        <v>0.15671641791044777</v>
      </c>
      <c r="K35" s="1">
        <f>Table2[[#This Row],[Deals Closed]]/Table2[[#This Row],[Demo Calls]]</f>
        <v>0.16935483870967741</v>
      </c>
      <c r="L35" s="2">
        <f>Table2[[#This Row],[Revenue]]/Table2[[#This Row],[Leads Generated]]</f>
        <v>8161.7910447761196</v>
      </c>
      <c r="M35" s="2">
        <f>Table2[[#This Row],[Marketing Spend]]/Table2[[#This Row],[Leads Generated]]</f>
        <v>902.17164179104475</v>
      </c>
      <c r="N35" s="2">
        <f>Table2[[#This Row],[Marketing Spend]]/Table2[[#This Row],[Deals Closed]]</f>
        <v>5756.7142857142853</v>
      </c>
    </row>
    <row r="36" spans="1:14" x14ac:dyDescent="0.3">
      <c r="A36" t="s">
        <v>52</v>
      </c>
      <c r="B36" t="s">
        <v>24</v>
      </c>
      <c r="C36" t="s">
        <v>14</v>
      </c>
      <c r="D36">
        <v>114</v>
      </c>
      <c r="E36">
        <v>47</v>
      </c>
      <c r="F36">
        <v>5</v>
      </c>
      <c r="G36">
        <v>265420</v>
      </c>
      <c r="H36">
        <v>20114</v>
      </c>
      <c r="I36">
        <v>63</v>
      </c>
      <c r="J36" s="1">
        <f>Table2[[#This Row],[Deals Closed]]/Table2[[#This Row],[Leads Generated]]</f>
        <v>4.3859649122807015E-2</v>
      </c>
      <c r="K36" s="1">
        <f>Table2[[#This Row],[Deals Closed]]/Table2[[#This Row],[Demo Calls]]</f>
        <v>0.10638297872340426</v>
      </c>
      <c r="L36" s="2">
        <f>Table2[[#This Row],[Revenue]]/Table2[[#This Row],[Leads Generated]]</f>
        <v>2328.2456140350878</v>
      </c>
      <c r="M36" s="2">
        <f>Table2[[#This Row],[Marketing Spend]]/Table2[[#This Row],[Leads Generated]]</f>
        <v>176.43859649122808</v>
      </c>
      <c r="N36" s="2">
        <f>Table2[[#This Row],[Marketing Spend]]/Table2[[#This Row],[Deals Closed]]</f>
        <v>4022.8</v>
      </c>
    </row>
    <row r="37" spans="1:14" x14ac:dyDescent="0.3">
      <c r="A37" t="s">
        <v>53</v>
      </c>
      <c r="B37" t="s">
        <v>13</v>
      </c>
      <c r="C37" t="s">
        <v>31</v>
      </c>
      <c r="D37">
        <v>187</v>
      </c>
      <c r="E37">
        <v>98</v>
      </c>
      <c r="F37">
        <v>7</v>
      </c>
      <c r="G37">
        <v>341908</v>
      </c>
      <c r="H37">
        <v>75658</v>
      </c>
      <c r="I37">
        <v>58</v>
      </c>
      <c r="J37" s="1">
        <f>Table2[[#This Row],[Deals Closed]]/Table2[[#This Row],[Leads Generated]]</f>
        <v>3.7433155080213901E-2</v>
      </c>
      <c r="K37" s="1">
        <f>Table2[[#This Row],[Deals Closed]]/Table2[[#This Row],[Demo Calls]]</f>
        <v>7.1428571428571425E-2</v>
      </c>
      <c r="L37" s="2">
        <f>Table2[[#This Row],[Revenue]]/Table2[[#This Row],[Leads Generated]]</f>
        <v>1828.385026737968</v>
      </c>
      <c r="M37" s="2">
        <f>Table2[[#This Row],[Marketing Spend]]/Table2[[#This Row],[Leads Generated]]</f>
        <v>404.58823529411762</v>
      </c>
      <c r="N37" s="2">
        <f>Table2[[#This Row],[Marketing Spend]]/Table2[[#This Row],[Deals Closed]]</f>
        <v>10808.285714285714</v>
      </c>
    </row>
    <row r="38" spans="1:14" x14ac:dyDescent="0.3">
      <c r="A38" t="s">
        <v>54</v>
      </c>
      <c r="B38" t="s">
        <v>18</v>
      </c>
      <c r="C38" t="s">
        <v>14</v>
      </c>
      <c r="D38">
        <v>131</v>
      </c>
      <c r="E38">
        <v>83</v>
      </c>
      <c r="F38">
        <v>8</v>
      </c>
      <c r="G38">
        <v>308880</v>
      </c>
      <c r="H38">
        <v>80209</v>
      </c>
      <c r="I38">
        <v>56</v>
      </c>
      <c r="J38" s="1">
        <f>Table2[[#This Row],[Deals Closed]]/Table2[[#This Row],[Leads Generated]]</f>
        <v>6.1068702290076333E-2</v>
      </c>
      <c r="K38" s="1">
        <f>Table2[[#This Row],[Deals Closed]]/Table2[[#This Row],[Demo Calls]]</f>
        <v>9.6385542168674704E-2</v>
      </c>
      <c r="L38" s="2">
        <f>Table2[[#This Row],[Revenue]]/Table2[[#This Row],[Leads Generated]]</f>
        <v>2357.8625954198474</v>
      </c>
      <c r="M38" s="2">
        <f>Table2[[#This Row],[Marketing Spend]]/Table2[[#This Row],[Leads Generated]]</f>
        <v>612.28244274809163</v>
      </c>
      <c r="N38" s="2">
        <f>Table2[[#This Row],[Marketing Spend]]/Table2[[#This Row],[Deals Closed]]</f>
        <v>10026.125</v>
      </c>
    </row>
    <row r="39" spans="1:14" x14ac:dyDescent="0.3">
      <c r="A39" t="s">
        <v>55</v>
      </c>
      <c r="B39" t="s">
        <v>18</v>
      </c>
      <c r="C39" t="s">
        <v>16</v>
      </c>
      <c r="D39">
        <v>122</v>
      </c>
      <c r="E39">
        <v>44</v>
      </c>
      <c r="F39">
        <v>3</v>
      </c>
      <c r="G39">
        <v>123591</v>
      </c>
      <c r="H39">
        <v>68760</v>
      </c>
      <c r="I39">
        <v>54</v>
      </c>
      <c r="J39" s="1">
        <f>Table2[[#This Row],[Deals Closed]]/Table2[[#This Row],[Leads Generated]]</f>
        <v>2.4590163934426229E-2</v>
      </c>
      <c r="K39" s="1">
        <f>Table2[[#This Row],[Deals Closed]]/Table2[[#This Row],[Demo Calls]]</f>
        <v>6.8181818181818177E-2</v>
      </c>
      <c r="L39" s="2">
        <f>Table2[[#This Row],[Revenue]]/Table2[[#This Row],[Leads Generated]]</f>
        <v>1013.0409836065573</v>
      </c>
      <c r="M39" s="2">
        <f>Table2[[#This Row],[Marketing Spend]]/Table2[[#This Row],[Leads Generated]]</f>
        <v>563.60655737704917</v>
      </c>
      <c r="N39" s="2">
        <f>Table2[[#This Row],[Marketing Spend]]/Table2[[#This Row],[Deals Closed]]</f>
        <v>22920</v>
      </c>
    </row>
    <row r="40" spans="1:14" x14ac:dyDescent="0.3">
      <c r="A40" t="s">
        <v>56</v>
      </c>
      <c r="B40" t="s">
        <v>10</v>
      </c>
      <c r="C40" t="s">
        <v>11</v>
      </c>
      <c r="D40">
        <v>83</v>
      </c>
      <c r="E40">
        <v>58</v>
      </c>
      <c r="F40">
        <v>4</v>
      </c>
      <c r="G40">
        <v>184060</v>
      </c>
      <c r="H40">
        <v>67259</v>
      </c>
      <c r="I40">
        <v>40</v>
      </c>
      <c r="J40" s="1">
        <f>Table2[[#This Row],[Deals Closed]]/Table2[[#This Row],[Leads Generated]]</f>
        <v>4.8192771084337352E-2</v>
      </c>
      <c r="K40" s="1">
        <f>Table2[[#This Row],[Deals Closed]]/Table2[[#This Row],[Demo Calls]]</f>
        <v>6.8965517241379309E-2</v>
      </c>
      <c r="L40" s="2">
        <f>Table2[[#This Row],[Revenue]]/Table2[[#This Row],[Leads Generated]]</f>
        <v>2217.5903614457829</v>
      </c>
      <c r="M40" s="2">
        <f>Table2[[#This Row],[Marketing Spend]]/Table2[[#This Row],[Leads Generated]]</f>
        <v>810.34939759036149</v>
      </c>
      <c r="N40" s="2">
        <f>Table2[[#This Row],[Marketing Spend]]/Table2[[#This Row],[Deals Closed]]</f>
        <v>16814.75</v>
      </c>
    </row>
    <row r="41" spans="1:14" x14ac:dyDescent="0.3">
      <c r="A41" t="s">
        <v>57</v>
      </c>
      <c r="B41" t="s">
        <v>24</v>
      </c>
      <c r="C41" t="s">
        <v>11</v>
      </c>
      <c r="D41">
        <v>170</v>
      </c>
      <c r="E41">
        <v>81</v>
      </c>
      <c r="F41">
        <v>16</v>
      </c>
      <c r="G41">
        <v>769120</v>
      </c>
      <c r="H41">
        <v>30815</v>
      </c>
      <c r="I41">
        <v>31</v>
      </c>
      <c r="J41" s="1">
        <f>Table2[[#This Row],[Deals Closed]]/Table2[[#This Row],[Leads Generated]]</f>
        <v>9.4117647058823528E-2</v>
      </c>
      <c r="K41" s="1">
        <f>Table2[[#This Row],[Deals Closed]]/Table2[[#This Row],[Demo Calls]]</f>
        <v>0.19753086419753085</v>
      </c>
      <c r="L41" s="2">
        <f>Table2[[#This Row],[Revenue]]/Table2[[#This Row],[Leads Generated]]</f>
        <v>4524.2352941176468</v>
      </c>
      <c r="M41" s="2">
        <f>Table2[[#This Row],[Marketing Spend]]/Table2[[#This Row],[Leads Generated]]</f>
        <v>181.26470588235293</v>
      </c>
      <c r="N41" s="2">
        <f>Table2[[#This Row],[Marketing Spend]]/Table2[[#This Row],[Deals Closed]]</f>
        <v>1925.9375</v>
      </c>
    </row>
    <row r="42" spans="1:14" x14ac:dyDescent="0.3">
      <c r="A42" t="s">
        <v>58</v>
      </c>
      <c r="B42" t="s">
        <v>13</v>
      </c>
      <c r="C42" t="s">
        <v>21</v>
      </c>
      <c r="D42">
        <v>139</v>
      </c>
      <c r="E42">
        <v>61</v>
      </c>
      <c r="F42">
        <v>9</v>
      </c>
      <c r="G42">
        <v>331911</v>
      </c>
      <c r="H42">
        <v>50003</v>
      </c>
      <c r="I42">
        <v>27</v>
      </c>
      <c r="J42" s="1">
        <f>Table2[[#This Row],[Deals Closed]]/Table2[[#This Row],[Leads Generated]]</f>
        <v>6.4748201438848921E-2</v>
      </c>
      <c r="K42" s="1">
        <f>Table2[[#This Row],[Deals Closed]]/Table2[[#This Row],[Demo Calls]]</f>
        <v>0.14754098360655737</v>
      </c>
      <c r="L42" s="2">
        <f>Table2[[#This Row],[Revenue]]/Table2[[#This Row],[Leads Generated]]</f>
        <v>2387.8489208633096</v>
      </c>
      <c r="M42" s="2">
        <f>Table2[[#This Row],[Marketing Spend]]/Table2[[#This Row],[Leads Generated]]</f>
        <v>359.73381294964031</v>
      </c>
      <c r="N42" s="2">
        <f>Table2[[#This Row],[Marketing Spend]]/Table2[[#This Row],[Deals Closed]]</f>
        <v>5555.8888888888887</v>
      </c>
    </row>
    <row r="43" spans="1:14" x14ac:dyDescent="0.3">
      <c r="A43" t="s">
        <v>59</v>
      </c>
      <c r="B43" t="s">
        <v>18</v>
      </c>
      <c r="C43" t="s">
        <v>21</v>
      </c>
      <c r="D43">
        <v>121</v>
      </c>
      <c r="E43">
        <v>100</v>
      </c>
      <c r="F43">
        <v>14</v>
      </c>
      <c r="G43">
        <v>540708</v>
      </c>
      <c r="H43">
        <v>121027</v>
      </c>
      <c r="I43">
        <v>30</v>
      </c>
      <c r="J43" s="1">
        <f>Table2[[#This Row],[Deals Closed]]/Table2[[#This Row],[Leads Generated]]</f>
        <v>0.11570247933884298</v>
      </c>
      <c r="K43" s="1">
        <f>Table2[[#This Row],[Deals Closed]]/Table2[[#This Row],[Demo Calls]]</f>
        <v>0.14000000000000001</v>
      </c>
      <c r="L43" s="2">
        <f>Table2[[#This Row],[Revenue]]/Table2[[#This Row],[Leads Generated]]</f>
        <v>4468.6611570247933</v>
      </c>
      <c r="M43" s="2">
        <f>Table2[[#This Row],[Marketing Spend]]/Table2[[#This Row],[Leads Generated]]</f>
        <v>1000.2231404958678</v>
      </c>
      <c r="N43" s="2">
        <f>Table2[[#This Row],[Marketing Spend]]/Table2[[#This Row],[Deals Closed]]</f>
        <v>8644.7857142857138</v>
      </c>
    </row>
    <row r="44" spans="1:14" x14ac:dyDescent="0.3">
      <c r="A44" t="s">
        <v>60</v>
      </c>
      <c r="B44" t="s">
        <v>13</v>
      </c>
      <c r="C44" t="s">
        <v>31</v>
      </c>
      <c r="D44">
        <v>93</v>
      </c>
      <c r="E44">
        <v>38</v>
      </c>
      <c r="F44">
        <v>3</v>
      </c>
      <c r="G44">
        <v>137199</v>
      </c>
      <c r="H44">
        <v>52035</v>
      </c>
      <c r="I44">
        <v>33</v>
      </c>
      <c r="J44" s="1">
        <f>Table2[[#This Row],[Deals Closed]]/Table2[[#This Row],[Leads Generated]]</f>
        <v>3.2258064516129031E-2</v>
      </c>
      <c r="K44" s="1">
        <f>Table2[[#This Row],[Deals Closed]]/Table2[[#This Row],[Demo Calls]]</f>
        <v>7.8947368421052627E-2</v>
      </c>
      <c r="L44" s="2">
        <f>Table2[[#This Row],[Revenue]]/Table2[[#This Row],[Leads Generated]]</f>
        <v>1475.258064516129</v>
      </c>
      <c r="M44" s="2">
        <f>Table2[[#This Row],[Marketing Spend]]/Table2[[#This Row],[Leads Generated]]</f>
        <v>559.51612903225805</v>
      </c>
      <c r="N44" s="2">
        <f>Table2[[#This Row],[Marketing Spend]]/Table2[[#This Row],[Deals Closed]]</f>
        <v>17345</v>
      </c>
    </row>
    <row r="45" spans="1:14" x14ac:dyDescent="0.3">
      <c r="A45" t="s">
        <v>61</v>
      </c>
      <c r="B45" t="s">
        <v>13</v>
      </c>
      <c r="C45" t="s">
        <v>11</v>
      </c>
      <c r="D45">
        <v>108</v>
      </c>
      <c r="E45">
        <v>73</v>
      </c>
      <c r="F45">
        <v>15</v>
      </c>
      <c r="G45">
        <v>694650</v>
      </c>
      <c r="H45">
        <v>146062</v>
      </c>
      <c r="I45">
        <v>31</v>
      </c>
      <c r="J45" s="1">
        <f>Table2[[#This Row],[Deals Closed]]/Table2[[#This Row],[Leads Generated]]</f>
        <v>0.1388888888888889</v>
      </c>
      <c r="K45" s="1">
        <f>Table2[[#This Row],[Deals Closed]]/Table2[[#This Row],[Demo Calls]]</f>
        <v>0.20547945205479451</v>
      </c>
      <c r="L45" s="2">
        <f>Table2[[#This Row],[Revenue]]/Table2[[#This Row],[Leads Generated]]</f>
        <v>6431.9444444444443</v>
      </c>
      <c r="M45" s="2">
        <f>Table2[[#This Row],[Marketing Spend]]/Table2[[#This Row],[Leads Generated]]</f>
        <v>1352.4259259259259</v>
      </c>
      <c r="N45" s="2">
        <f>Table2[[#This Row],[Marketing Spend]]/Table2[[#This Row],[Deals Closed]]</f>
        <v>9737.4666666666672</v>
      </c>
    </row>
    <row r="46" spans="1:14" x14ac:dyDescent="0.3">
      <c r="A46" t="s">
        <v>62</v>
      </c>
      <c r="B46" t="s">
        <v>24</v>
      </c>
      <c r="C46" t="s">
        <v>31</v>
      </c>
      <c r="D46">
        <v>79</v>
      </c>
      <c r="E46">
        <v>38</v>
      </c>
      <c r="F46">
        <v>8</v>
      </c>
      <c r="G46">
        <v>319488</v>
      </c>
      <c r="H46">
        <v>51673</v>
      </c>
      <c r="I46">
        <v>79</v>
      </c>
      <c r="J46" s="1">
        <f>Table2[[#This Row],[Deals Closed]]/Table2[[#This Row],[Leads Generated]]</f>
        <v>0.10126582278481013</v>
      </c>
      <c r="K46" s="1">
        <f>Table2[[#This Row],[Deals Closed]]/Table2[[#This Row],[Demo Calls]]</f>
        <v>0.21052631578947367</v>
      </c>
      <c r="L46" s="2">
        <f>Table2[[#This Row],[Revenue]]/Table2[[#This Row],[Leads Generated]]</f>
        <v>4044.1518987341774</v>
      </c>
      <c r="M46" s="2">
        <f>Table2[[#This Row],[Marketing Spend]]/Table2[[#This Row],[Leads Generated]]</f>
        <v>654.08860759493666</v>
      </c>
      <c r="N46" s="2">
        <f>Table2[[#This Row],[Marketing Spend]]/Table2[[#This Row],[Deals Closed]]</f>
        <v>6459.125</v>
      </c>
    </row>
    <row r="47" spans="1:14" x14ac:dyDescent="0.3">
      <c r="A47" t="s">
        <v>63</v>
      </c>
      <c r="B47" t="s">
        <v>10</v>
      </c>
      <c r="C47" t="s">
        <v>21</v>
      </c>
      <c r="D47">
        <v>81</v>
      </c>
      <c r="E47">
        <v>30</v>
      </c>
      <c r="F47">
        <v>5</v>
      </c>
      <c r="G47">
        <v>199545</v>
      </c>
      <c r="H47">
        <v>83679</v>
      </c>
      <c r="I47">
        <v>36</v>
      </c>
      <c r="J47" s="1">
        <f>Table2[[#This Row],[Deals Closed]]/Table2[[#This Row],[Leads Generated]]</f>
        <v>6.1728395061728392E-2</v>
      </c>
      <c r="K47" s="1">
        <f>Table2[[#This Row],[Deals Closed]]/Table2[[#This Row],[Demo Calls]]</f>
        <v>0.16666666666666666</v>
      </c>
      <c r="L47" s="2">
        <f>Table2[[#This Row],[Revenue]]/Table2[[#This Row],[Leads Generated]]</f>
        <v>2463.5185185185187</v>
      </c>
      <c r="M47" s="2">
        <f>Table2[[#This Row],[Marketing Spend]]/Table2[[#This Row],[Leads Generated]]</f>
        <v>1033.0740740740741</v>
      </c>
      <c r="N47" s="2">
        <f>Table2[[#This Row],[Marketing Spend]]/Table2[[#This Row],[Deals Closed]]</f>
        <v>16735.8</v>
      </c>
    </row>
    <row r="48" spans="1:14" x14ac:dyDescent="0.3">
      <c r="A48" t="s">
        <v>64</v>
      </c>
      <c r="B48" t="s">
        <v>13</v>
      </c>
      <c r="C48" t="s">
        <v>11</v>
      </c>
      <c r="D48">
        <v>87</v>
      </c>
      <c r="E48">
        <v>70</v>
      </c>
      <c r="F48">
        <v>10</v>
      </c>
      <c r="G48">
        <v>352100</v>
      </c>
      <c r="H48">
        <v>131339</v>
      </c>
      <c r="I48">
        <v>71</v>
      </c>
      <c r="J48" s="1">
        <f>Table2[[#This Row],[Deals Closed]]/Table2[[#This Row],[Leads Generated]]</f>
        <v>0.11494252873563218</v>
      </c>
      <c r="K48" s="1">
        <f>Table2[[#This Row],[Deals Closed]]/Table2[[#This Row],[Demo Calls]]</f>
        <v>0.14285714285714285</v>
      </c>
      <c r="L48" s="2">
        <f>Table2[[#This Row],[Revenue]]/Table2[[#This Row],[Leads Generated]]</f>
        <v>4047.1264367816093</v>
      </c>
      <c r="M48" s="2">
        <f>Table2[[#This Row],[Marketing Spend]]/Table2[[#This Row],[Leads Generated]]</f>
        <v>1509.6436781609195</v>
      </c>
      <c r="N48" s="2">
        <f>Table2[[#This Row],[Marketing Spend]]/Table2[[#This Row],[Deals Closed]]</f>
        <v>13133.9</v>
      </c>
    </row>
    <row r="49" spans="1:14" x14ac:dyDescent="0.3">
      <c r="A49" t="s">
        <v>65</v>
      </c>
      <c r="B49" t="s">
        <v>18</v>
      </c>
      <c r="C49" t="s">
        <v>11</v>
      </c>
      <c r="D49">
        <v>148</v>
      </c>
      <c r="E49">
        <v>61</v>
      </c>
      <c r="F49">
        <v>5</v>
      </c>
      <c r="G49">
        <v>198925</v>
      </c>
      <c r="H49">
        <v>149872</v>
      </c>
      <c r="I49">
        <v>52</v>
      </c>
      <c r="J49" s="1">
        <f>Table2[[#This Row],[Deals Closed]]/Table2[[#This Row],[Leads Generated]]</f>
        <v>3.3783783783783786E-2</v>
      </c>
      <c r="K49" s="1">
        <f>Table2[[#This Row],[Deals Closed]]/Table2[[#This Row],[Demo Calls]]</f>
        <v>8.1967213114754092E-2</v>
      </c>
      <c r="L49" s="2">
        <f>Table2[[#This Row],[Revenue]]/Table2[[#This Row],[Leads Generated]]</f>
        <v>1344.0878378378379</v>
      </c>
      <c r="M49" s="2">
        <f>Table2[[#This Row],[Marketing Spend]]/Table2[[#This Row],[Leads Generated]]</f>
        <v>1012.6486486486486</v>
      </c>
      <c r="N49" s="2">
        <f>Table2[[#This Row],[Marketing Spend]]/Table2[[#This Row],[Deals Closed]]</f>
        <v>29974.400000000001</v>
      </c>
    </row>
    <row r="50" spans="1:14" x14ac:dyDescent="0.3">
      <c r="A50" t="s">
        <v>66</v>
      </c>
      <c r="B50" t="s">
        <v>13</v>
      </c>
      <c r="C50" t="s">
        <v>31</v>
      </c>
      <c r="D50">
        <v>125</v>
      </c>
      <c r="E50">
        <v>115</v>
      </c>
      <c r="F50">
        <v>14</v>
      </c>
      <c r="G50">
        <v>614012</v>
      </c>
      <c r="H50">
        <v>112193</v>
      </c>
      <c r="I50">
        <v>23</v>
      </c>
      <c r="J50" s="1">
        <f>Table2[[#This Row],[Deals Closed]]/Table2[[#This Row],[Leads Generated]]</f>
        <v>0.112</v>
      </c>
      <c r="K50" s="1">
        <f>Table2[[#This Row],[Deals Closed]]/Table2[[#This Row],[Demo Calls]]</f>
        <v>0.12173913043478261</v>
      </c>
      <c r="L50" s="2">
        <f>Table2[[#This Row],[Revenue]]/Table2[[#This Row],[Leads Generated]]</f>
        <v>4912.0959999999995</v>
      </c>
      <c r="M50" s="2">
        <f>Table2[[#This Row],[Marketing Spend]]/Table2[[#This Row],[Leads Generated]]</f>
        <v>897.54399999999998</v>
      </c>
      <c r="N50" s="2">
        <f>Table2[[#This Row],[Marketing Spend]]/Table2[[#This Row],[Deals Closed]]</f>
        <v>8013.7857142857147</v>
      </c>
    </row>
    <row r="51" spans="1:14" x14ac:dyDescent="0.3">
      <c r="A51" t="s">
        <v>67</v>
      </c>
      <c r="B51" t="s">
        <v>10</v>
      </c>
      <c r="C51" t="s">
        <v>21</v>
      </c>
      <c r="D51">
        <v>124</v>
      </c>
      <c r="E51">
        <v>54</v>
      </c>
      <c r="F51">
        <v>8</v>
      </c>
      <c r="G51">
        <v>290672</v>
      </c>
      <c r="H51">
        <v>63648</v>
      </c>
      <c r="I51">
        <v>46</v>
      </c>
      <c r="J51" s="1">
        <f>Table2[[#This Row],[Deals Closed]]/Table2[[#This Row],[Leads Generated]]</f>
        <v>6.4516129032258063E-2</v>
      </c>
      <c r="K51" s="1">
        <f>Table2[[#This Row],[Deals Closed]]/Table2[[#This Row],[Demo Calls]]</f>
        <v>0.14814814814814814</v>
      </c>
      <c r="L51" s="2">
        <f>Table2[[#This Row],[Revenue]]/Table2[[#This Row],[Leads Generated]]</f>
        <v>2344.1290322580644</v>
      </c>
      <c r="M51" s="2">
        <f>Table2[[#This Row],[Marketing Spend]]/Table2[[#This Row],[Leads Generated]]</f>
        <v>513.29032258064512</v>
      </c>
      <c r="N51" s="2">
        <f>Table2[[#This Row],[Marketing Spend]]/Table2[[#This Row],[Deals Closed]]</f>
        <v>7956</v>
      </c>
    </row>
    <row r="52" spans="1:14" x14ac:dyDescent="0.3">
      <c r="A52" t="s">
        <v>68</v>
      </c>
      <c r="B52" t="s">
        <v>13</v>
      </c>
      <c r="C52" t="s">
        <v>14</v>
      </c>
      <c r="D52">
        <v>114</v>
      </c>
      <c r="E52">
        <v>69</v>
      </c>
      <c r="F52">
        <v>13</v>
      </c>
      <c r="G52">
        <v>483847</v>
      </c>
      <c r="H52">
        <v>67891</v>
      </c>
      <c r="I52">
        <v>31</v>
      </c>
      <c r="J52" s="1">
        <f>Table2[[#This Row],[Deals Closed]]/Table2[[#This Row],[Leads Generated]]</f>
        <v>0.11403508771929824</v>
      </c>
      <c r="K52" s="1">
        <f>Table2[[#This Row],[Deals Closed]]/Table2[[#This Row],[Demo Calls]]</f>
        <v>0.18840579710144928</v>
      </c>
      <c r="L52" s="2">
        <f>Table2[[#This Row],[Revenue]]/Table2[[#This Row],[Leads Generated]]</f>
        <v>4244.2719298245611</v>
      </c>
      <c r="M52" s="2">
        <f>Table2[[#This Row],[Marketing Spend]]/Table2[[#This Row],[Leads Generated]]</f>
        <v>595.53508771929819</v>
      </c>
      <c r="N52" s="2">
        <f>Table2[[#This Row],[Marketing Spend]]/Table2[[#This Row],[Deals Closed]]</f>
        <v>5222.3846153846152</v>
      </c>
    </row>
    <row r="53" spans="1:14" x14ac:dyDescent="0.3">
      <c r="A53" t="s">
        <v>69</v>
      </c>
      <c r="B53" t="s">
        <v>13</v>
      </c>
      <c r="C53" t="s">
        <v>31</v>
      </c>
      <c r="D53">
        <v>104</v>
      </c>
      <c r="E53">
        <v>97</v>
      </c>
      <c r="F53">
        <v>17</v>
      </c>
      <c r="G53">
        <v>829022</v>
      </c>
      <c r="H53">
        <v>103409</v>
      </c>
      <c r="I53">
        <v>32</v>
      </c>
      <c r="J53" s="1">
        <f>Table2[[#This Row],[Deals Closed]]/Table2[[#This Row],[Leads Generated]]</f>
        <v>0.16346153846153846</v>
      </c>
      <c r="K53" s="1">
        <f>Table2[[#This Row],[Deals Closed]]/Table2[[#This Row],[Demo Calls]]</f>
        <v>0.17525773195876287</v>
      </c>
      <c r="L53" s="2">
        <f>Table2[[#This Row],[Revenue]]/Table2[[#This Row],[Leads Generated]]</f>
        <v>7971.3653846153848</v>
      </c>
      <c r="M53" s="2">
        <f>Table2[[#This Row],[Marketing Spend]]/Table2[[#This Row],[Leads Generated]]</f>
        <v>994.31730769230774</v>
      </c>
      <c r="N53" s="2">
        <f>Table2[[#This Row],[Marketing Spend]]/Table2[[#This Row],[Deals Closed]]</f>
        <v>6082.8823529411766</v>
      </c>
    </row>
    <row r="54" spans="1:14" x14ac:dyDescent="0.3">
      <c r="A54" t="s">
        <v>70</v>
      </c>
      <c r="B54" t="s">
        <v>10</v>
      </c>
      <c r="C54" t="s">
        <v>16</v>
      </c>
      <c r="D54">
        <v>166</v>
      </c>
      <c r="E54">
        <v>97</v>
      </c>
      <c r="F54">
        <v>15</v>
      </c>
      <c r="G54">
        <v>814725</v>
      </c>
      <c r="H54">
        <v>80831</v>
      </c>
      <c r="I54">
        <v>40</v>
      </c>
      <c r="J54" s="1">
        <f>Table2[[#This Row],[Deals Closed]]/Table2[[#This Row],[Leads Generated]]</f>
        <v>9.036144578313253E-2</v>
      </c>
      <c r="K54" s="1">
        <f>Table2[[#This Row],[Deals Closed]]/Table2[[#This Row],[Demo Calls]]</f>
        <v>0.15463917525773196</v>
      </c>
      <c r="L54" s="2">
        <f>Table2[[#This Row],[Revenue]]/Table2[[#This Row],[Leads Generated]]</f>
        <v>4907.9819277108436</v>
      </c>
      <c r="M54" s="2">
        <f>Table2[[#This Row],[Marketing Spend]]/Table2[[#This Row],[Leads Generated]]</f>
        <v>486.93373493975906</v>
      </c>
      <c r="N54" s="2">
        <f>Table2[[#This Row],[Marketing Spend]]/Table2[[#This Row],[Deals Closed]]</f>
        <v>5388.7333333333336</v>
      </c>
    </row>
    <row r="55" spans="1:14" x14ac:dyDescent="0.3">
      <c r="A55" t="s">
        <v>71</v>
      </c>
      <c r="B55" t="s">
        <v>10</v>
      </c>
      <c r="C55" t="s">
        <v>16</v>
      </c>
      <c r="D55">
        <v>145</v>
      </c>
      <c r="E55">
        <v>95</v>
      </c>
      <c r="F55">
        <v>7</v>
      </c>
      <c r="G55">
        <v>291585</v>
      </c>
      <c r="H55">
        <v>68335</v>
      </c>
      <c r="I55">
        <v>22</v>
      </c>
      <c r="J55" s="1">
        <f>Table2[[#This Row],[Deals Closed]]/Table2[[#This Row],[Leads Generated]]</f>
        <v>4.8275862068965517E-2</v>
      </c>
      <c r="K55" s="1">
        <f>Table2[[#This Row],[Deals Closed]]/Table2[[#This Row],[Demo Calls]]</f>
        <v>7.3684210526315783E-2</v>
      </c>
      <c r="L55" s="2">
        <f>Table2[[#This Row],[Revenue]]/Table2[[#This Row],[Leads Generated]]</f>
        <v>2010.9310344827586</v>
      </c>
      <c r="M55" s="2">
        <f>Table2[[#This Row],[Marketing Spend]]/Table2[[#This Row],[Leads Generated]]</f>
        <v>471.27586206896552</v>
      </c>
      <c r="N55" s="2">
        <f>Table2[[#This Row],[Marketing Spend]]/Table2[[#This Row],[Deals Closed]]</f>
        <v>9762.1428571428569</v>
      </c>
    </row>
    <row r="56" spans="1:14" x14ac:dyDescent="0.3">
      <c r="A56" t="s">
        <v>72</v>
      </c>
      <c r="B56" t="s">
        <v>24</v>
      </c>
      <c r="C56" t="s">
        <v>16</v>
      </c>
      <c r="D56">
        <v>114</v>
      </c>
      <c r="E56">
        <v>86</v>
      </c>
      <c r="F56">
        <v>15</v>
      </c>
      <c r="G56">
        <v>628905</v>
      </c>
      <c r="H56">
        <v>146706</v>
      </c>
      <c r="I56">
        <v>40</v>
      </c>
      <c r="J56" s="1">
        <f>Table2[[#This Row],[Deals Closed]]/Table2[[#This Row],[Leads Generated]]</f>
        <v>0.13157894736842105</v>
      </c>
      <c r="K56" s="1">
        <f>Table2[[#This Row],[Deals Closed]]/Table2[[#This Row],[Demo Calls]]</f>
        <v>0.1744186046511628</v>
      </c>
      <c r="L56" s="2">
        <f>Table2[[#This Row],[Revenue]]/Table2[[#This Row],[Leads Generated]]</f>
        <v>5516.7105263157891</v>
      </c>
      <c r="M56" s="2">
        <f>Table2[[#This Row],[Marketing Spend]]/Table2[[#This Row],[Leads Generated]]</f>
        <v>1286.8947368421052</v>
      </c>
      <c r="N56" s="2">
        <f>Table2[[#This Row],[Marketing Spend]]/Table2[[#This Row],[Deals Closed]]</f>
        <v>9780.4</v>
      </c>
    </row>
    <row r="57" spans="1:14" x14ac:dyDescent="0.3">
      <c r="A57" t="s">
        <v>73</v>
      </c>
      <c r="B57" t="s">
        <v>10</v>
      </c>
      <c r="C57" t="s">
        <v>16</v>
      </c>
      <c r="D57">
        <v>61</v>
      </c>
      <c r="E57">
        <v>46</v>
      </c>
      <c r="F57">
        <v>3</v>
      </c>
      <c r="G57">
        <v>152388</v>
      </c>
      <c r="H57">
        <v>75119</v>
      </c>
      <c r="I57">
        <v>77</v>
      </c>
      <c r="J57" s="1">
        <f>Table2[[#This Row],[Deals Closed]]/Table2[[#This Row],[Leads Generated]]</f>
        <v>4.9180327868852458E-2</v>
      </c>
      <c r="K57" s="1">
        <f>Table2[[#This Row],[Deals Closed]]/Table2[[#This Row],[Demo Calls]]</f>
        <v>6.5217391304347824E-2</v>
      </c>
      <c r="L57" s="2">
        <f>Table2[[#This Row],[Revenue]]/Table2[[#This Row],[Leads Generated]]</f>
        <v>2498.1639344262294</v>
      </c>
      <c r="M57" s="2">
        <f>Table2[[#This Row],[Marketing Spend]]/Table2[[#This Row],[Leads Generated]]</f>
        <v>1231.4590163934427</v>
      </c>
      <c r="N57" s="2">
        <f>Table2[[#This Row],[Marketing Spend]]/Table2[[#This Row],[Deals Closed]]</f>
        <v>25039.666666666668</v>
      </c>
    </row>
    <row r="58" spans="1:14" x14ac:dyDescent="0.3">
      <c r="A58" t="s">
        <v>74</v>
      </c>
      <c r="B58" t="s">
        <v>18</v>
      </c>
      <c r="C58" t="s">
        <v>31</v>
      </c>
      <c r="D58">
        <v>143</v>
      </c>
      <c r="E58">
        <v>121</v>
      </c>
      <c r="F58">
        <v>19</v>
      </c>
      <c r="G58">
        <v>717649</v>
      </c>
      <c r="H58">
        <v>51681</v>
      </c>
      <c r="I58">
        <v>39</v>
      </c>
      <c r="J58" s="1">
        <f>Table2[[#This Row],[Deals Closed]]/Table2[[#This Row],[Leads Generated]]</f>
        <v>0.13286713286713286</v>
      </c>
      <c r="K58" s="1">
        <f>Table2[[#This Row],[Deals Closed]]/Table2[[#This Row],[Demo Calls]]</f>
        <v>0.15702479338842976</v>
      </c>
      <c r="L58" s="2">
        <f>Table2[[#This Row],[Revenue]]/Table2[[#This Row],[Leads Generated]]</f>
        <v>5018.5244755244757</v>
      </c>
      <c r="M58" s="2">
        <f>Table2[[#This Row],[Marketing Spend]]/Table2[[#This Row],[Leads Generated]]</f>
        <v>361.4055944055944</v>
      </c>
      <c r="N58" s="2">
        <f>Table2[[#This Row],[Marketing Spend]]/Table2[[#This Row],[Deals Closed]]</f>
        <v>2720.0526315789475</v>
      </c>
    </row>
    <row r="59" spans="1:14" x14ac:dyDescent="0.3">
      <c r="A59" t="s">
        <v>75</v>
      </c>
      <c r="B59" t="s">
        <v>18</v>
      </c>
      <c r="C59" t="s">
        <v>11</v>
      </c>
      <c r="D59">
        <v>190</v>
      </c>
      <c r="E59">
        <v>131</v>
      </c>
      <c r="F59">
        <v>27</v>
      </c>
      <c r="G59">
        <v>1156788</v>
      </c>
      <c r="H59">
        <v>101779</v>
      </c>
      <c r="I59">
        <v>25</v>
      </c>
      <c r="J59" s="1">
        <f>Table2[[#This Row],[Deals Closed]]/Table2[[#This Row],[Leads Generated]]</f>
        <v>0.14210526315789473</v>
      </c>
      <c r="K59" s="1">
        <f>Table2[[#This Row],[Deals Closed]]/Table2[[#This Row],[Demo Calls]]</f>
        <v>0.20610687022900764</v>
      </c>
      <c r="L59" s="2">
        <f>Table2[[#This Row],[Revenue]]/Table2[[#This Row],[Leads Generated]]</f>
        <v>6088.3578947368424</v>
      </c>
      <c r="M59" s="2">
        <f>Table2[[#This Row],[Marketing Spend]]/Table2[[#This Row],[Leads Generated]]</f>
        <v>535.67894736842106</v>
      </c>
      <c r="N59" s="2">
        <f>Table2[[#This Row],[Marketing Spend]]/Table2[[#This Row],[Deals Closed]]</f>
        <v>3769.5925925925926</v>
      </c>
    </row>
    <row r="60" spans="1:14" x14ac:dyDescent="0.3">
      <c r="A60" t="s">
        <v>76</v>
      </c>
      <c r="B60" t="s">
        <v>13</v>
      </c>
      <c r="C60" t="s">
        <v>14</v>
      </c>
      <c r="D60">
        <v>76</v>
      </c>
      <c r="E60">
        <v>65</v>
      </c>
      <c r="F60">
        <v>7</v>
      </c>
      <c r="G60">
        <v>330981</v>
      </c>
      <c r="H60">
        <v>136289</v>
      </c>
      <c r="I60">
        <v>75</v>
      </c>
      <c r="J60" s="1">
        <f>Table2[[#This Row],[Deals Closed]]/Table2[[#This Row],[Leads Generated]]</f>
        <v>9.2105263157894732E-2</v>
      </c>
      <c r="K60" s="1">
        <f>Table2[[#This Row],[Deals Closed]]/Table2[[#This Row],[Demo Calls]]</f>
        <v>0.1076923076923077</v>
      </c>
      <c r="L60" s="2">
        <f>Table2[[#This Row],[Revenue]]/Table2[[#This Row],[Leads Generated]]</f>
        <v>4355.0131578947367</v>
      </c>
      <c r="M60" s="2">
        <f>Table2[[#This Row],[Marketing Spend]]/Table2[[#This Row],[Leads Generated]]</f>
        <v>1793.2763157894738</v>
      </c>
      <c r="N60" s="2">
        <f>Table2[[#This Row],[Marketing Spend]]/Table2[[#This Row],[Deals Closed]]</f>
        <v>19469.857142857141</v>
      </c>
    </row>
    <row r="61" spans="1:14" x14ac:dyDescent="0.3">
      <c r="A61" t="s">
        <v>77</v>
      </c>
      <c r="B61" t="s">
        <v>18</v>
      </c>
      <c r="C61" t="s">
        <v>14</v>
      </c>
      <c r="D61">
        <v>85</v>
      </c>
      <c r="E61">
        <v>81</v>
      </c>
      <c r="F61">
        <v>17</v>
      </c>
      <c r="G61">
        <v>761940</v>
      </c>
      <c r="H61">
        <v>39023</v>
      </c>
      <c r="I61">
        <v>66</v>
      </c>
      <c r="J61" s="1">
        <f>Table2[[#This Row],[Deals Closed]]/Table2[[#This Row],[Leads Generated]]</f>
        <v>0.2</v>
      </c>
      <c r="K61" s="1">
        <f>Table2[[#This Row],[Deals Closed]]/Table2[[#This Row],[Demo Calls]]</f>
        <v>0.20987654320987653</v>
      </c>
      <c r="L61" s="2">
        <f>Table2[[#This Row],[Revenue]]/Table2[[#This Row],[Leads Generated]]</f>
        <v>8964</v>
      </c>
      <c r="M61" s="2">
        <f>Table2[[#This Row],[Marketing Spend]]/Table2[[#This Row],[Leads Generated]]</f>
        <v>459.09411764705885</v>
      </c>
      <c r="N61" s="2">
        <f>Table2[[#This Row],[Marketing Spend]]/Table2[[#This Row],[Deals Closed]]</f>
        <v>2295.4705882352941</v>
      </c>
    </row>
    <row r="62" spans="1:14" x14ac:dyDescent="0.3">
      <c r="A62" t="s">
        <v>78</v>
      </c>
      <c r="B62" t="s">
        <v>10</v>
      </c>
      <c r="C62" t="s">
        <v>14</v>
      </c>
      <c r="D62">
        <v>111</v>
      </c>
      <c r="E62">
        <v>56</v>
      </c>
      <c r="F62">
        <v>12</v>
      </c>
      <c r="G62">
        <v>536532</v>
      </c>
      <c r="H62">
        <v>49658</v>
      </c>
      <c r="I62">
        <v>25</v>
      </c>
      <c r="J62" s="1">
        <f>Table2[[#This Row],[Deals Closed]]/Table2[[#This Row],[Leads Generated]]</f>
        <v>0.10810810810810811</v>
      </c>
      <c r="K62" s="1">
        <f>Table2[[#This Row],[Deals Closed]]/Table2[[#This Row],[Demo Calls]]</f>
        <v>0.21428571428571427</v>
      </c>
      <c r="L62" s="2">
        <f>Table2[[#This Row],[Revenue]]/Table2[[#This Row],[Leads Generated]]</f>
        <v>4833.6216216216217</v>
      </c>
      <c r="M62" s="2">
        <f>Table2[[#This Row],[Marketing Spend]]/Table2[[#This Row],[Leads Generated]]</f>
        <v>447.36936936936939</v>
      </c>
      <c r="N62" s="2">
        <f>Table2[[#This Row],[Marketing Spend]]/Table2[[#This Row],[Deals Closed]]</f>
        <v>4138.166666666667</v>
      </c>
    </row>
    <row r="63" spans="1:14" x14ac:dyDescent="0.3">
      <c r="A63" t="s">
        <v>79</v>
      </c>
      <c r="B63" t="s">
        <v>24</v>
      </c>
      <c r="C63" t="s">
        <v>21</v>
      </c>
      <c r="D63">
        <v>61</v>
      </c>
      <c r="E63">
        <v>38</v>
      </c>
      <c r="F63">
        <v>6</v>
      </c>
      <c r="G63">
        <v>256422</v>
      </c>
      <c r="H63">
        <v>12085</v>
      </c>
      <c r="I63">
        <v>27</v>
      </c>
      <c r="J63" s="1">
        <f>Table2[[#This Row],[Deals Closed]]/Table2[[#This Row],[Leads Generated]]</f>
        <v>9.8360655737704916E-2</v>
      </c>
      <c r="K63" s="1">
        <f>Table2[[#This Row],[Deals Closed]]/Table2[[#This Row],[Demo Calls]]</f>
        <v>0.15789473684210525</v>
      </c>
      <c r="L63" s="2">
        <f>Table2[[#This Row],[Revenue]]/Table2[[#This Row],[Leads Generated]]</f>
        <v>4203.6393442622948</v>
      </c>
      <c r="M63" s="2">
        <f>Table2[[#This Row],[Marketing Spend]]/Table2[[#This Row],[Leads Generated]]</f>
        <v>198.11475409836066</v>
      </c>
      <c r="N63" s="2">
        <f>Table2[[#This Row],[Marketing Spend]]/Table2[[#This Row],[Deals Closed]]</f>
        <v>2014.1666666666667</v>
      </c>
    </row>
    <row r="64" spans="1:14" x14ac:dyDescent="0.3">
      <c r="A64" t="s">
        <v>80</v>
      </c>
      <c r="B64" t="s">
        <v>18</v>
      </c>
      <c r="C64" t="s">
        <v>21</v>
      </c>
      <c r="D64">
        <v>75</v>
      </c>
      <c r="E64">
        <v>69</v>
      </c>
      <c r="F64">
        <v>13</v>
      </c>
      <c r="G64">
        <v>600496</v>
      </c>
      <c r="H64">
        <v>18363</v>
      </c>
      <c r="I64">
        <v>49</v>
      </c>
      <c r="J64" s="1">
        <f>Table2[[#This Row],[Deals Closed]]/Table2[[#This Row],[Leads Generated]]</f>
        <v>0.17333333333333334</v>
      </c>
      <c r="K64" s="1">
        <f>Table2[[#This Row],[Deals Closed]]/Table2[[#This Row],[Demo Calls]]</f>
        <v>0.18840579710144928</v>
      </c>
      <c r="L64" s="2">
        <f>Table2[[#This Row],[Revenue]]/Table2[[#This Row],[Leads Generated]]</f>
        <v>8006.6133333333337</v>
      </c>
      <c r="M64" s="2">
        <f>Table2[[#This Row],[Marketing Spend]]/Table2[[#This Row],[Leads Generated]]</f>
        <v>244.84</v>
      </c>
      <c r="N64" s="2">
        <f>Table2[[#This Row],[Marketing Spend]]/Table2[[#This Row],[Deals Closed]]</f>
        <v>1412.5384615384614</v>
      </c>
    </row>
    <row r="65" spans="1:14" x14ac:dyDescent="0.3">
      <c r="A65" t="s">
        <v>81</v>
      </c>
      <c r="B65" t="s">
        <v>10</v>
      </c>
      <c r="C65" t="s">
        <v>31</v>
      </c>
      <c r="D65">
        <v>117</v>
      </c>
      <c r="E65">
        <v>71</v>
      </c>
      <c r="F65">
        <v>13</v>
      </c>
      <c r="G65">
        <v>675896</v>
      </c>
      <c r="H65">
        <v>103650</v>
      </c>
      <c r="I65">
        <v>23</v>
      </c>
      <c r="J65" s="1">
        <f>Table2[[#This Row],[Deals Closed]]/Table2[[#This Row],[Leads Generated]]</f>
        <v>0.1111111111111111</v>
      </c>
      <c r="K65" s="1">
        <f>Table2[[#This Row],[Deals Closed]]/Table2[[#This Row],[Demo Calls]]</f>
        <v>0.18309859154929578</v>
      </c>
      <c r="L65" s="2">
        <f>Table2[[#This Row],[Revenue]]/Table2[[#This Row],[Leads Generated]]</f>
        <v>5776.8888888888887</v>
      </c>
      <c r="M65" s="2">
        <f>Table2[[#This Row],[Marketing Spend]]/Table2[[#This Row],[Leads Generated]]</f>
        <v>885.89743589743591</v>
      </c>
      <c r="N65" s="2">
        <f>Table2[[#This Row],[Marketing Spend]]/Table2[[#This Row],[Deals Closed]]</f>
        <v>7973.0769230769229</v>
      </c>
    </row>
    <row r="66" spans="1:14" x14ac:dyDescent="0.3">
      <c r="A66" t="s">
        <v>82</v>
      </c>
      <c r="B66" t="s">
        <v>24</v>
      </c>
      <c r="C66" t="s">
        <v>21</v>
      </c>
      <c r="D66">
        <v>68</v>
      </c>
      <c r="E66">
        <v>50</v>
      </c>
      <c r="F66">
        <v>7</v>
      </c>
      <c r="G66">
        <v>331016</v>
      </c>
      <c r="H66">
        <v>74480</v>
      </c>
      <c r="I66">
        <v>27</v>
      </c>
      <c r="J66" s="1">
        <f>Table2[[#This Row],[Deals Closed]]/Table2[[#This Row],[Leads Generated]]</f>
        <v>0.10294117647058823</v>
      </c>
      <c r="K66" s="1">
        <f>Table2[[#This Row],[Deals Closed]]/Table2[[#This Row],[Demo Calls]]</f>
        <v>0.14000000000000001</v>
      </c>
      <c r="L66" s="2">
        <f>Table2[[#This Row],[Revenue]]/Table2[[#This Row],[Leads Generated]]</f>
        <v>4867.8823529411766</v>
      </c>
      <c r="M66" s="2">
        <f>Table2[[#This Row],[Marketing Spend]]/Table2[[#This Row],[Leads Generated]]</f>
        <v>1095.2941176470588</v>
      </c>
      <c r="N66" s="2">
        <f>Table2[[#This Row],[Marketing Spend]]/Table2[[#This Row],[Deals Closed]]</f>
        <v>10640</v>
      </c>
    </row>
    <row r="67" spans="1:14" x14ac:dyDescent="0.3">
      <c r="A67" t="s">
        <v>83</v>
      </c>
      <c r="B67" t="s">
        <v>10</v>
      </c>
      <c r="C67" t="s">
        <v>21</v>
      </c>
      <c r="D67">
        <v>197</v>
      </c>
      <c r="E67">
        <v>181</v>
      </c>
      <c r="F67">
        <v>24</v>
      </c>
      <c r="G67">
        <v>858864</v>
      </c>
      <c r="H67">
        <v>14311</v>
      </c>
      <c r="I67">
        <v>73</v>
      </c>
      <c r="J67" s="1">
        <f>Table2[[#This Row],[Deals Closed]]/Table2[[#This Row],[Leads Generated]]</f>
        <v>0.12182741116751269</v>
      </c>
      <c r="K67" s="1">
        <f>Table2[[#This Row],[Deals Closed]]/Table2[[#This Row],[Demo Calls]]</f>
        <v>0.13259668508287292</v>
      </c>
      <c r="L67" s="2">
        <f>Table2[[#This Row],[Revenue]]/Table2[[#This Row],[Leads Generated]]</f>
        <v>4359.715736040609</v>
      </c>
      <c r="M67" s="2">
        <f>Table2[[#This Row],[Marketing Spend]]/Table2[[#This Row],[Leads Generated]]</f>
        <v>72.64467005076142</v>
      </c>
      <c r="N67" s="2">
        <f>Table2[[#This Row],[Marketing Spend]]/Table2[[#This Row],[Deals Closed]]</f>
        <v>596.29166666666663</v>
      </c>
    </row>
    <row r="68" spans="1:14" x14ac:dyDescent="0.3">
      <c r="A68" t="s">
        <v>84</v>
      </c>
      <c r="B68" t="s">
        <v>18</v>
      </c>
      <c r="C68" t="s">
        <v>16</v>
      </c>
      <c r="D68">
        <v>77</v>
      </c>
      <c r="E68">
        <v>41</v>
      </c>
      <c r="F68">
        <v>5</v>
      </c>
      <c r="G68">
        <v>221665</v>
      </c>
      <c r="H68">
        <v>149067</v>
      </c>
      <c r="I68">
        <v>56</v>
      </c>
      <c r="J68" s="1">
        <f>Table2[[#This Row],[Deals Closed]]/Table2[[#This Row],[Leads Generated]]</f>
        <v>6.4935064935064929E-2</v>
      </c>
      <c r="K68" s="1">
        <f>Table2[[#This Row],[Deals Closed]]/Table2[[#This Row],[Demo Calls]]</f>
        <v>0.12195121951219512</v>
      </c>
      <c r="L68" s="2">
        <f>Table2[[#This Row],[Revenue]]/Table2[[#This Row],[Leads Generated]]</f>
        <v>2878.7662337662337</v>
      </c>
      <c r="M68" s="2">
        <f>Table2[[#This Row],[Marketing Spend]]/Table2[[#This Row],[Leads Generated]]</f>
        <v>1935.9350649350649</v>
      </c>
      <c r="N68" s="2">
        <f>Table2[[#This Row],[Marketing Spend]]/Table2[[#This Row],[Deals Closed]]</f>
        <v>29813.4</v>
      </c>
    </row>
    <row r="69" spans="1:14" x14ac:dyDescent="0.3">
      <c r="A69" t="s">
        <v>85</v>
      </c>
      <c r="B69" t="s">
        <v>13</v>
      </c>
      <c r="C69" t="s">
        <v>11</v>
      </c>
      <c r="D69">
        <v>105</v>
      </c>
      <c r="E69">
        <v>63</v>
      </c>
      <c r="F69">
        <v>7</v>
      </c>
      <c r="G69">
        <v>326781</v>
      </c>
      <c r="H69">
        <v>77247</v>
      </c>
      <c r="I69">
        <v>34</v>
      </c>
      <c r="J69" s="1">
        <f>Table2[[#This Row],[Deals Closed]]/Table2[[#This Row],[Leads Generated]]</f>
        <v>6.6666666666666666E-2</v>
      </c>
      <c r="K69" s="1">
        <f>Table2[[#This Row],[Deals Closed]]/Table2[[#This Row],[Demo Calls]]</f>
        <v>0.1111111111111111</v>
      </c>
      <c r="L69" s="2">
        <f>Table2[[#This Row],[Revenue]]/Table2[[#This Row],[Leads Generated]]</f>
        <v>3112.2</v>
      </c>
      <c r="M69" s="2">
        <f>Table2[[#This Row],[Marketing Spend]]/Table2[[#This Row],[Leads Generated]]</f>
        <v>735.68571428571431</v>
      </c>
      <c r="N69" s="2">
        <f>Table2[[#This Row],[Marketing Spend]]/Table2[[#This Row],[Deals Closed]]</f>
        <v>11035.285714285714</v>
      </c>
    </row>
    <row r="70" spans="1:14" x14ac:dyDescent="0.3">
      <c r="A70" t="s">
        <v>86</v>
      </c>
      <c r="B70" t="s">
        <v>24</v>
      </c>
      <c r="C70" t="s">
        <v>14</v>
      </c>
      <c r="D70">
        <v>145</v>
      </c>
      <c r="E70">
        <v>60</v>
      </c>
      <c r="F70">
        <v>6</v>
      </c>
      <c r="G70">
        <v>215466</v>
      </c>
      <c r="H70">
        <v>61336</v>
      </c>
      <c r="I70">
        <v>64</v>
      </c>
      <c r="J70" s="1">
        <f>Table2[[#This Row],[Deals Closed]]/Table2[[#This Row],[Leads Generated]]</f>
        <v>4.1379310344827586E-2</v>
      </c>
      <c r="K70" s="1">
        <f>Table2[[#This Row],[Deals Closed]]/Table2[[#This Row],[Demo Calls]]</f>
        <v>0.1</v>
      </c>
      <c r="L70" s="2">
        <f>Table2[[#This Row],[Revenue]]/Table2[[#This Row],[Leads Generated]]</f>
        <v>1485.9724137931034</v>
      </c>
      <c r="M70" s="2">
        <f>Table2[[#This Row],[Marketing Spend]]/Table2[[#This Row],[Leads Generated]]</f>
        <v>423.00689655172414</v>
      </c>
      <c r="N70" s="2">
        <f>Table2[[#This Row],[Marketing Spend]]/Table2[[#This Row],[Deals Closed]]</f>
        <v>10222.666666666666</v>
      </c>
    </row>
    <row r="71" spans="1:14" x14ac:dyDescent="0.3">
      <c r="A71" t="s">
        <v>87</v>
      </c>
      <c r="B71" t="s">
        <v>18</v>
      </c>
      <c r="C71" t="s">
        <v>14</v>
      </c>
      <c r="D71">
        <v>151</v>
      </c>
      <c r="E71">
        <v>113</v>
      </c>
      <c r="F71">
        <v>14</v>
      </c>
      <c r="G71">
        <v>672672</v>
      </c>
      <c r="H71">
        <v>14859</v>
      </c>
      <c r="I71">
        <v>54</v>
      </c>
      <c r="J71" s="1">
        <f>Table2[[#This Row],[Deals Closed]]/Table2[[#This Row],[Leads Generated]]</f>
        <v>9.2715231788079472E-2</v>
      </c>
      <c r="K71" s="1">
        <f>Table2[[#This Row],[Deals Closed]]/Table2[[#This Row],[Demo Calls]]</f>
        <v>0.12389380530973451</v>
      </c>
      <c r="L71" s="2">
        <f>Table2[[#This Row],[Revenue]]/Table2[[#This Row],[Leads Generated]]</f>
        <v>4454.7814569536422</v>
      </c>
      <c r="M71" s="2">
        <f>Table2[[#This Row],[Marketing Spend]]/Table2[[#This Row],[Leads Generated]]</f>
        <v>98.403973509933778</v>
      </c>
      <c r="N71" s="2">
        <f>Table2[[#This Row],[Marketing Spend]]/Table2[[#This Row],[Deals Closed]]</f>
        <v>1061.3571428571429</v>
      </c>
    </row>
    <row r="72" spans="1:14" x14ac:dyDescent="0.3">
      <c r="A72" t="s">
        <v>88</v>
      </c>
      <c r="B72" t="s">
        <v>10</v>
      </c>
      <c r="C72" t="s">
        <v>16</v>
      </c>
      <c r="D72">
        <v>139</v>
      </c>
      <c r="E72">
        <v>70</v>
      </c>
      <c r="F72">
        <v>6</v>
      </c>
      <c r="G72">
        <v>234282</v>
      </c>
      <c r="H72">
        <v>91125</v>
      </c>
      <c r="I72">
        <v>51</v>
      </c>
      <c r="J72" s="1">
        <f>Table2[[#This Row],[Deals Closed]]/Table2[[#This Row],[Leads Generated]]</f>
        <v>4.3165467625899283E-2</v>
      </c>
      <c r="K72" s="1">
        <f>Table2[[#This Row],[Deals Closed]]/Table2[[#This Row],[Demo Calls]]</f>
        <v>8.5714285714285715E-2</v>
      </c>
      <c r="L72" s="2">
        <f>Table2[[#This Row],[Revenue]]/Table2[[#This Row],[Leads Generated]]</f>
        <v>1685.4820143884892</v>
      </c>
      <c r="M72" s="2">
        <f>Table2[[#This Row],[Marketing Spend]]/Table2[[#This Row],[Leads Generated]]</f>
        <v>655.57553956834533</v>
      </c>
      <c r="N72" s="2">
        <f>Table2[[#This Row],[Marketing Spend]]/Table2[[#This Row],[Deals Closed]]</f>
        <v>15187.5</v>
      </c>
    </row>
    <row r="73" spans="1:14" x14ac:dyDescent="0.3">
      <c r="A73" t="s">
        <v>89</v>
      </c>
      <c r="B73" t="s">
        <v>24</v>
      </c>
      <c r="C73" t="s">
        <v>21</v>
      </c>
      <c r="D73">
        <v>91</v>
      </c>
      <c r="E73">
        <v>45</v>
      </c>
      <c r="F73">
        <v>4</v>
      </c>
      <c r="G73">
        <v>212988</v>
      </c>
      <c r="H73">
        <v>110219</v>
      </c>
      <c r="I73">
        <v>40</v>
      </c>
      <c r="J73" s="1">
        <f>Table2[[#This Row],[Deals Closed]]/Table2[[#This Row],[Leads Generated]]</f>
        <v>4.3956043956043959E-2</v>
      </c>
      <c r="K73" s="1">
        <f>Table2[[#This Row],[Deals Closed]]/Table2[[#This Row],[Demo Calls]]</f>
        <v>8.8888888888888892E-2</v>
      </c>
      <c r="L73" s="2">
        <f>Table2[[#This Row],[Revenue]]/Table2[[#This Row],[Leads Generated]]</f>
        <v>2340.5274725274726</v>
      </c>
      <c r="M73" s="2">
        <f>Table2[[#This Row],[Marketing Spend]]/Table2[[#This Row],[Leads Generated]]</f>
        <v>1211.1978021978023</v>
      </c>
      <c r="N73" s="2">
        <f>Table2[[#This Row],[Marketing Spend]]/Table2[[#This Row],[Deals Closed]]</f>
        <v>27554.75</v>
      </c>
    </row>
    <row r="74" spans="1:14" x14ac:dyDescent="0.3">
      <c r="A74" t="s">
        <v>90</v>
      </c>
      <c r="B74" t="s">
        <v>18</v>
      </c>
      <c r="C74" t="s">
        <v>21</v>
      </c>
      <c r="D74">
        <v>143</v>
      </c>
      <c r="E74">
        <v>124</v>
      </c>
      <c r="F74">
        <v>25</v>
      </c>
      <c r="G74">
        <v>1320600</v>
      </c>
      <c r="H74">
        <v>57735</v>
      </c>
      <c r="I74">
        <v>53</v>
      </c>
      <c r="J74" s="1">
        <f>Table2[[#This Row],[Deals Closed]]/Table2[[#This Row],[Leads Generated]]</f>
        <v>0.17482517482517482</v>
      </c>
      <c r="K74" s="1">
        <f>Table2[[#This Row],[Deals Closed]]/Table2[[#This Row],[Demo Calls]]</f>
        <v>0.20161290322580644</v>
      </c>
      <c r="L74" s="2">
        <f>Table2[[#This Row],[Revenue]]/Table2[[#This Row],[Leads Generated]]</f>
        <v>9234.9650349650346</v>
      </c>
      <c r="M74" s="2">
        <f>Table2[[#This Row],[Marketing Spend]]/Table2[[#This Row],[Leads Generated]]</f>
        <v>403.74125874125872</v>
      </c>
      <c r="N74" s="2">
        <f>Table2[[#This Row],[Marketing Spend]]/Table2[[#This Row],[Deals Closed]]</f>
        <v>2309.4</v>
      </c>
    </row>
    <row r="75" spans="1:14" x14ac:dyDescent="0.3">
      <c r="A75" t="s">
        <v>91</v>
      </c>
      <c r="B75" t="s">
        <v>24</v>
      </c>
      <c r="C75" t="s">
        <v>11</v>
      </c>
      <c r="D75">
        <v>115</v>
      </c>
      <c r="E75">
        <v>45</v>
      </c>
      <c r="F75">
        <v>5</v>
      </c>
      <c r="G75">
        <v>194580</v>
      </c>
      <c r="H75">
        <v>53559</v>
      </c>
      <c r="I75">
        <v>47</v>
      </c>
      <c r="J75" s="1">
        <f>Table2[[#This Row],[Deals Closed]]/Table2[[#This Row],[Leads Generated]]</f>
        <v>4.3478260869565216E-2</v>
      </c>
      <c r="K75" s="1">
        <f>Table2[[#This Row],[Deals Closed]]/Table2[[#This Row],[Demo Calls]]</f>
        <v>0.1111111111111111</v>
      </c>
      <c r="L75" s="2">
        <f>Table2[[#This Row],[Revenue]]/Table2[[#This Row],[Leads Generated]]</f>
        <v>1692</v>
      </c>
      <c r="M75" s="2">
        <f>Table2[[#This Row],[Marketing Spend]]/Table2[[#This Row],[Leads Generated]]</f>
        <v>465.73043478260871</v>
      </c>
      <c r="N75" s="2">
        <f>Table2[[#This Row],[Marketing Spend]]/Table2[[#This Row],[Deals Closed]]</f>
        <v>10711.8</v>
      </c>
    </row>
    <row r="76" spans="1:14" x14ac:dyDescent="0.3">
      <c r="A76" t="s">
        <v>92</v>
      </c>
      <c r="B76" t="s">
        <v>24</v>
      </c>
      <c r="C76" t="s">
        <v>16</v>
      </c>
      <c r="D76">
        <v>161</v>
      </c>
      <c r="E76">
        <v>115</v>
      </c>
      <c r="F76">
        <v>23</v>
      </c>
      <c r="G76">
        <v>1018279</v>
      </c>
      <c r="H76">
        <v>32768</v>
      </c>
      <c r="I76">
        <v>28</v>
      </c>
      <c r="J76" s="1">
        <f>Table2[[#This Row],[Deals Closed]]/Table2[[#This Row],[Leads Generated]]</f>
        <v>0.14285714285714285</v>
      </c>
      <c r="K76" s="1">
        <f>Table2[[#This Row],[Deals Closed]]/Table2[[#This Row],[Demo Calls]]</f>
        <v>0.2</v>
      </c>
      <c r="L76" s="2">
        <f>Table2[[#This Row],[Revenue]]/Table2[[#This Row],[Leads Generated]]</f>
        <v>6324.7142857142853</v>
      </c>
      <c r="M76" s="2">
        <f>Table2[[#This Row],[Marketing Spend]]/Table2[[#This Row],[Leads Generated]]</f>
        <v>203.52795031055899</v>
      </c>
      <c r="N76" s="2">
        <f>Table2[[#This Row],[Marketing Spend]]/Table2[[#This Row],[Deals Closed]]</f>
        <v>1424.695652173913</v>
      </c>
    </row>
    <row r="77" spans="1:14" x14ac:dyDescent="0.3">
      <c r="A77" t="s">
        <v>93</v>
      </c>
      <c r="B77" t="s">
        <v>10</v>
      </c>
      <c r="C77" t="s">
        <v>11</v>
      </c>
      <c r="D77">
        <v>199</v>
      </c>
      <c r="E77">
        <v>90</v>
      </c>
      <c r="F77">
        <v>8</v>
      </c>
      <c r="G77">
        <v>358264</v>
      </c>
      <c r="H77">
        <v>44124</v>
      </c>
      <c r="I77">
        <v>29</v>
      </c>
      <c r="J77" s="1">
        <f>Table2[[#This Row],[Deals Closed]]/Table2[[#This Row],[Leads Generated]]</f>
        <v>4.0201005025125629E-2</v>
      </c>
      <c r="K77" s="1">
        <f>Table2[[#This Row],[Deals Closed]]/Table2[[#This Row],[Demo Calls]]</f>
        <v>8.8888888888888892E-2</v>
      </c>
      <c r="L77" s="2">
        <f>Table2[[#This Row],[Revenue]]/Table2[[#This Row],[Leads Generated]]</f>
        <v>1800.321608040201</v>
      </c>
      <c r="M77" s="2">
        <f>Table2[[#This Row],[Marketing Spend]]/Table2[[#This Row],[Leads Generated]]</f>
        <v>221.7286432160804</v>
      </c>
      <c r="N77" s="2">
        <f>Table2[[#This Row],[Marketing Spend]]/Table2[[#This Row],[Deals Closed]]</f>
        <v>5515.5</v>
      </c>
    </row>
    <row r="78" spans="1:14" x14ac:dyDescent="0.3">
      <c r="A78" t="s">
        <v>94</v>
      </c>
      <c r="B78" t="s">
        <v>13</v>
      </c>
      <c r="C78" t="s">
        <v>16</v>
      </c>
      <c r="D78">
        <v>70</v>
      </c>
      <c r="E78">
        <v>45</v>
      </c>
      <c r="F78">
        <v>9</v>
      </c>
      <c r="G78">
        <v>446634</v>
      </c>
      <c r="H78">
        <v>23626</v>
      </c>
      <c r="I78">
        <v>38</v>
      </c>
      <c r="J78" s="1">
        <f>Table2[[#This Row],[Deals Closed]]/Table2[[#This Row],[Leads Generated]]</f>
        <v>0.12857142857142856</v>
      </c>
      <c r="K78" s="1">
        <f>Table2[[#This Row],[Deals Closed]]/Table2[[#This Row],[Demo Calls]]</f>
        <v>0.2</v>
      </c>
      <c r="L78" s="2">
        <f>Table2[[#This Row],[Revenue]]/Table2[[#This Row],[Leads Generated]]</f>
        <v>6380.4857142857145</v>
      </c>
      <c r="M78" s="2">
        <f>Table2[[#This Row],[Marketing Spend]]/Table2[[#This Row],[Leads Generated]]</f>
        <v>337.51428571428573</v>
      </c>
      <c r="N78" s="2">
        <f>Table2[[#This Row],[Marketing Spend]]/Table2[[#This Row],[Deals Closed]]</f>
        <v>2625.1111111111113</v>
      </c>
    </row>
    <row r="79" spans="1:14" x14ac:dyDescent="0.3">
      <c r="A79" t="s">
        <v>95</v>
      </c>
      <c r="B79" t="s">
        <v>24</v>
      </c>
      <c r="C79" t="s">
        <v>21</v>
      </c>
      <c r="D79">
        <v>85</v>
      </c>
      <c r="E79">
        <v>39</v>
      </c>
      <c r="F79">
        <v>7</v>
      </c>
      <c r="G79">
        <v>339164</v>
      </c>
      <c r="H79">
        <v>60598</v>
      </c>
      <c r="I79">
        <v>64</v>
      </c>
      <c r="J79" s="1">
        <f>Table2[[#This Row],[Deals Closed]]/Table2[[#This Row],[Leads Generated]]</f>
        <v>8.2352941176470587E-2</v>
      </c>
      <c r="K79" s="1">
        <f>Table2[[#This Row],[Deals Closed]]/Table2[[#This Row],[Demo Calls]]</f>
        <v>0.17948717948717949</v>
      </c>
      <c r="L79" s="2">
        <f>Table2[[#This Row],[Revenue]]/Table2[[#This Row],[Leads Generated]]</f>
        <v>3990.1647058823528</v>
      </c>
      <c r="M79" s="2">
        <f>Table2[[#This Row],[Marketing Spend]]/Table2[[#This Row],[Leads Generated]]</f>
        <v>712.91764705882349</v>
      </c>
      <c r="N79" s="2">
        <f>Table2[[#This Row],[Marketing Spend]]/Table2[[#This Row],[Deals Closed]]</f>
        <v>8656.8571428571431</v>
      </c>
    </row>
    <row r="80" spans="1:14" x14ac:dyDescent="0.3">
      <c r="A80" t="s">
        <v>96</v>
      </c>
      <c r="B80" t="s">
        <v>13</v>
      </c>
      <c r="C80" t="s">
        <v>14</v>
      </c>
      <c r="D80">
        <v>149</v>
      </c>
      <c r="E80">
        <v>93</v>
      </c>
      <c r="F80">
        <v>10</v>
      </c>
      <c r="G80">
        <v>477080</v>
      </c>
      <c r="H80">
        <v>28947</v>
      </c>
      <c r="I80">
        <v>60</v>
      </c>
      <c r="J80" s="1">
        <f>Table2[[#This Row],[Deals Closed]]/Table2[[#This Row],[Leads Generated]]</f>
        <v>6.7114093959731544E-2</v>
      </c>
      <c r="K80" s="1">
        <f>Table2[[#This Row],[Deals Closed]]/Table2[[#This Row],[Demo Calls]]</f>
        <v>0.10752688172043011</v>
      </c>
      <c r="L80" s="2">
        <f>Table2[[#This Row],[Revenue]]/Table2[[#This Row],[Leads Generated]]</f>
        <v>3201.8791946308725</v>
      </c>
      <c r="M80" s="2">
        <f>Table2[[#This Row],[Marketing Spend]]/Table2[[#This Row],[Leads Generated]]</f>
        <v>194.27516778523491</v>
      </c>
      <c r="N80" s="2">
        <f>Table2[[#This Row],[Marketing Spend]]/Table2[[#This Row],[Deals Closed]]</f>
        <v>2894.7</v>
      </c>
    </row>
    <row r="81" spans="1:14" x14ac:dyDescent="0.3">
      <c r="A81" t="s">
        <v>97</v>
      </c>
      <c r="B81" t="s">
        <v>10</v>
      </c>
      <c r="C81" t="s">
        <v>16</v>
      </c>
      <c r="D81">
        <v>111</v>
      </c>
      <c r="E81">
        <v>90</v>
      </c>
      <c r="F81">
        <v>12</v>
      </c>
      <c r="G81">
        <v>440568</v>
      </c>
      <c r="H81">
        <v>21509</v>
      </c>
      <c r="I81">
        <v>56</v>
      </c>
      <c r="J81" s="1">
        <f>Table2[[#This Row],[Deals Closed]]/Table2[[#This Row],[Leads Generated]]</f>
        <v>0.10810810810810811</v>
      </c>
      <c r="K81" s="1">
        <f>Table2[[#This Row],[Deals Closed]]/Table2[[#This Row],[Demo Calls]]</f>
        <v>0.13333333333333333</v>
      </c>
      <c r="L81" s="2">
        <f>Table2[[#This Row],[Revenue]]/Table2[[#This Row],[Leads Generated]]</f>
        <v>3969.0810810810813</v>
      </c>
      <c r="M81" s="2">
        <f>Table2[[#This Row],[Marketing Spend]]/Table2[[#This Row],[Leads Generated]]</f>
        <v>193.77477477477478</v>
      </c>
      <c r="N81" s="2">
        <f>Table2[[#This Row],[Marketing Spend]]/Table2[[#This Row],[Deals Closed]]</f>
        <v>1792.4166666666667</v>
      </c>
    </row>
    <row r="82" spans="1:14" x14ac:dyDescent="0.3">
      <c r="A82" t="s">
        <v>98</v>
      </c>
      <c r="B82" t="s">
        <v>13</v>
      </c>
      <c r="C82" t="s">
        <v>31</v>
      </c>
      <c r="D82">
        <v>86</v>
      </c>
      <c r="E82">
        <v>69</v>
      </c>
      <c r="F82">
        <v>15</v>
      </c>
      <c r="G82">
        <v>777750</v>
      </c>
      <c r="H82">
        <v>94644</v>
      </c>
      <c r="I82">
        <v>66</v>
      </c>
      <c r="J82" s="1">
        <f>Table2[[#This Row],[Deals Closed]]/Table2[[#This Row],[Leads Generated]]</f>
        <v>0.1744186046511628</v>
      </c>
      <c r="K82" s="1">
        <f>Table2[[#This Row],[Deals Closed]]/Table2[[#This Row],[Demo Calls]]</f>
        <v>0.21739130434782608</v>
      </c>
      <c r="L82" s="2">
        <f>Table2[[#This Row],[Revenue]]/Table2[[#This Row],[Leads Generated]]</f>
        <v>9043.6046511627901</v>
      </c>
      <c r="M82" s="2">
        <f>Table2[[#This Row],[Marketing Spend]]/Table2[[#This Row],[Leads Generated]]</f>
        <v>1100.5116279069769</v>
      </c>
      <c r="N82" s="2">
        <f>Table2[[#This Row],[Marketing Spend]]/Table2[[#This Row],[Deals Closed]]</f>
        <v>6309.6</v>
      </c>
    </row>
    <row r="83" spans="1:14" x14ac:dyDescent="0.3">
      <c r="A83" t="s">
        <v>99</v>
      </c>
      <c r="B83" t="s">
        <v>10</v>
      </c>
      <c r="C83" t="s">
        <v>14</v>
      </c>
      <c r="D83">
        <v>87</v>
      </c>
      <c r="E83">
        <v>53</v>
      </c>
      <c r="F83">
        <v>9</v>
      </c>
      <c r="G83">
        <v>324810</v>
      </c>
      <c r="H83">
        <v>50585</v>
      </c>
      <c r="I83">
        <v>20</v>
      </c>
      <c r="J83" s="1">
        <f>Table2[[#This Row],[Deals Closed]]/Table2[[#This Row],[Leads Generated]]</f>
        <v>0.10344827586206896</v>
      </c>
      <c r="K83" s="1">
        <f>Table2[[#This Row],[Deals Closed]]/Table2[[#This Row],[Demo Calls]]</f>
        <v>0.16981132075471697</v>
      </c>
      <c r="L83" s="2">
        <f>Table2[[#This Row],[Revenue]]/Table2[[#This Row],[Leads Generated]]</f>
        <v>3733.4482758620688</v>
      </c>
      <c r="M83" s="2">
        <f>Table2[[#This Row],[Marketing Spend]]/Table2[[#This Row],[Leads Generated]]</f>
        <v>581.43678160919535</v>
      </c>
      <c r="N83" s="2">
        <f>Table2[[#This Row],[Marketing Spend]]/Table2[[#This Row],[Deals Closed]]</f>
        <v>5620.5555555555557</v>
      </c>
    </row>
    <row r="84" spans="1:14" x14ac:dyDescent="0.3">
      <c r="A84" t="s">
        <v>100</v>
      </c>
      <c r="B84" t="s">
        <v>10</v>
      </c>
      <c r="C84" t="s">
        <v>31</v>
      </c>
      <c r="D84">
        <v>97</v>
      </c>
      <c r="E84">
        <v>42</v>
      </c>
      <c r="F84">
        <v>8</v>
      </c>
      <c r="G84">
        <v>391032</v>
      </c>
      <c r="H84">
        <v>81185</v>
      </c>
      <c r="I84">
        <v>40</v>
      </c>
      <c r="J84" s="1">
        <f>Table2[[#This Row],[Deals Closed]]/Table2[[#This Row],[Leads Generated]]</f>
        <v>8.247422680412371E-2</v>
      </c>
      <c r="K84" s="1">
        <f>Table2[[#This Row],[Deals Closed]]/Table2[[#This Row],[Demo Calls]]</f>
        <v>0.19047619047619047</v>
      </c>
      <c r="L84" s="2">
        <f>Table2[[#This Row],[Revenue]]/Table2[[#This Row],[Leads Generated]]</f>
        <v>4031.2577319587631</v>
      </c>
      <c r="M84" s="2">
        <f>Table2[[#This Row],[Marketing Spend]]/Table2[[#This Row],[Leads Generated]]</f>
        <v>836.95876288659792</v>
      </c>
      <c r="N84" s="2">
        <f>Table2[[#This Row],[Marketing Spend]]/Table2[[#This Row],[Deals Closed]]</f>
        <v>10148.125</v>
      </c>
    </row>
    <row r="85" spans="1:14" x14ac:dyDescent="0.3">
      <c r="A85" t="s">
        <v>101</v>
      </c>
      <c r="B85" t="s">
        <v>10</v>
      </c>
      <c r="C85" t="s">
        <v>21</v>
      </c>
      <c r="D85">
        <v>163</v>
      </c>
      <c r="E85">
        <v>101</v>
      </c>
      <c r="F85">
        <v>17</v>
      </c>
      <c r="G85">
        <v>808367</v>
      </c>
      <c r="H85">
        <v>31457</v>
      </c>
      <c r="I85">
        <v>41</v>
      </c>
      <c r="J85" s="1">
        <f>Table2[[#This Row],[Deals Closed]]/Table2[[#This Row],[Leads Generated]]</f>
        <v>0.10429447852760736</v>
      </c>
      <c r="K85" s="1">
        <f>Table2[[#This Row],[Deals Closed]]/Table2[[#This Row],[Demo Calls]]</f>
        <v>0.16831683168316833</v>
      </c>
      <c r="L85" s="2">
        <f>Table2[[#This Row],[Revenue]]/Table2[[#This Row],[Leads Generated]]</f>
        <v>4959.3067484662579</v>
      </c>
      <c r="M85" s="2">
        <f>Table2[[#This Row],[Marketing Spend]]/Table2[[#This Row],[Leads Generated]]</f>
        <v>192.98773006134968</v>
      </c>
      <c r="N85" s="2">
        <f>Table2[[#This Row],[Marketing Spend]]/Table2[[#This Row],[Deals Closed]]</f>
        <v>1850.4117647058824</v>
      </c>
    </row>
    <row r="86" spans="1:14" x14ac:dyDescent="0.3">
      <c r="A86" t="s">
        <v>102</v>
      </c>
      <c r="B86" t="s">
        <v>18</v>
      </c>
      <c r="C86" t="s">
        <v>14</v>
      </c>
      <c r="D86">
        <v>162</v>
      </c>
      <c r="E86">
        <v>129</v>
      </c>
      <c r="F86">
        <v>27</v>
      </c>
      <c r="G86">
        <v>1443015</v>
      </c>
      <c r="H86">
        <v>85217</v>
      </c>
      <c r="I86">
        <v>50</v>
      </c>
      <c r="J86" s="1">
        <f>Table2[[#This Row],[Deals Closed]]/Table2[[#This Row],[Leads Generated]]</f>
        <v>0.16666666666666666</v>
      </c>
      <c r="K86" s="1">
        <f>Table2[[#This Row],[Deals Closed]]/Table2[[#This Row],[Demo Calls]]</f>
        <v>0.20930232558139536</v>
      </c>
      <c r="L86" s="2">
        <f>Table2[[#This Row],[Revenue]]/Table2[[#This Row],[Leads Generated]]</f>
        <v>8907.5</v>
      </c>
      <c r="M86" s="2">
        <f>Table2[[#This Row],[Marketing Spend]]/Table2[[#This Row],[Leads Generated]]</f>
        <v>526.03086419753083</v>
      </c>
      <c r="N86" s="2">
        <f>Table2[[#This Row],[Marketing Spend]]/Table2[[#This Row],[Deals Closed]]</f>
        <v>3156.1851851851852</v>
      </c>
    </row>
    <row r="87" spans="1:14" x14ac:dyDescent="0.3">
      <c r="A87" t="s">
        <v>103</v>
      </c>
      <c r="B87" t="s">
        <v>10</v>
      </c>
      <c r="C87" t="s">
        <v>11</v>
      </c>
      <c r="D87">
        <v>98</v>
      </c>
      <c r="E87">
        <v>61</v>
      </c>
      <c r="F87">
        <v>4</v>
      </c>
      <c r="G87">
        <v>176288</v>
      </c>
      <c r="H87">
        <v>21675</v>
      </c>
      <c r="I87">
        <v>43</v>
      </c>
      <c r="J87" s="1">
        <f>Table2[[#This Row],[Deals Closed]]/Table2[[#This Row],[Leads Generated]]</f>
        <v>4.0816326530612242E-2</v>
      </c>
      <c r="K87" s="1">
        <f>Table2[[#This Row],[Deals Closed]]/Table2[[#This Row],[Demo Calls]]</f>
        <v>6.5573770491803282E-2</v>
      </c>
      <c r="L87" s="2">
        <f>Table2[[#This Row],[Revenue]]/Table2[[#This Row],[Leads Generated]]</f>
        <v>1798.8571428571429</v>
      </c>
      <c r="M87" s="2">
        <f>Table2[[#This Row],[Marketing Spend]]/Table2[[#This Row],[Leads Generated]]</f>
        <v>221.17346938775509</v>
      </c>
      <c r="N87" s="2">
        <f>Table2[[#This Row],[Marketing Spend]]/Table2[[#This Row],[Deals Closed]]</f>
        <v>5418.75</v>
      </c>
    </row>
    <row r="88" spans="1:14" x14ac:dyDescent="0.3">
      <c r="A88" t="s">
        <v>104</v>
      </c>
      <c r="B88" t="s">
        <v>18</v>
      </c>
      <c r="C88" t="s">
        <v>16</v>
      </c>
      <c r="D88">
        <v>76</v>
      </c>
      <c r="E88">
        <v>76</v>
      </c>
      <c r="F88">
        <v>8</v>
      </c>
      <c r="G88">
        <v>339304</v>
      </c>
      <c r="H88">
        <v>137046</v>
      </c>
      <c r="I88">
        <v>42</v>
      </c>
      <c r="J88" s="1">
        <f>Table2[[#This Row],[Deals Closed]]/Table2[[#This Row],[Leads Generated]]</f>
        <v>0.10526315789473684</v>
      </c>
      <c r="K88" s="1">
        <f>Table2[[#This Row],[Deals Closed]]/Table2[[#This Row],[Demo Calls]]</f>
        <v>0.10526315789473684</v>
      </c>
      <c r="L88" s="2">
        <f>Table2[[#This Row],[Revenue]]/Table2[[#This Row],[Leads Generated]]</f>
        <v>4464.5263157894733</v>
      </c>
      <c r="M88" s="2">
        <f>Table2[[#This Row],[Marketing Spend]]/Table2[[#This Row],[Leads Generated]]</f>
        <v>1803.2368421052631</v>
      </c>
      <c r="N88" s="2">
        <f>Table2[[#This Row],[Marketing Spend]]/Table2[[#This Row],[Deals Closed]]</f>
        <v>17130.75</v>
      </c>
    </row>
    <row r="89" spans="1:14" x14ac:dyDescent="0.3">
      <c r="A89" t="s">
        <v>105</v>
      </c>
      <c r="B89" t="s">
        <v>24</v>
      </c>
      <c r="C89" t="s">
        <v>31</v>
      </c>
      <c r="D89">
        <v>139</v>
      </c>
      <c r="E89">
        <v>126</v>
      </c>
      <c r="F89">
        <v>16</v>
      </c>
      <c r="G89">
        <v>647920</v>
      </c>
      <c r="H89">
        <v>61891</v>
      </c>
      <c r="I89">
        <v>61</v>
      </c>
      <c r="J89" s="1">
        <f>Table2[[#This Row],[Deals Closed]]/Table2[[#This Row],[Leads Generated]]</f>
        <v>0.11510791366906475</v>
      </c>
      <c r="K89" s="1">
        <f>Table2[[#This Row],[Deals Closed]]/Table2[[#This Row],[Demo Calls]]</f>
        <v>0.12698412698412698</v>
      </c>
      <c r="L89" s="2">
        <f>Table2[[#This Row],[Revenue]]/Table2[[#This Row],[Leads Generated]]</f>
        <v>4661.294964028777</v>
      </c>
      <c r="M89" s="2">
        <f>Table2[[#This Row],[Marketing Spend]]/Table2[[#This Row],[Leads Generated]]</f>
        <v>445.25899280575538</v>
      </c>
      <c r="N89" s="2">
        <f>Table2[[#This Row],[Marketing Spend]]/Table2[[#This Row],[Deals Closed]]</f>
        <v>3868.1875</v>
      </c>
    </row>
    <row r="90" spans="1:14" x14ac:dyDescent="0.3">
      <c r="A90" t="s">
        <v>106</v>
      </c>
      <c r="B90" t="s">
        <v>24</v>
      </c>
      <c r="C90" t="s">
        <v>11</v>
      </c>
      <c r="D90">
        <v>98</v>
      </c>
      <c r="E90">
        <v>59</v>
      </c>
      <c r="F90">
        <v>7</v>
      </c>
      <c r="G90">
        <v>254569</v>
      </c>
      <c r="H90">
        <v>132476</v>
      </c>
      <c r="I90">
        <v>76</v>
      </c>
      <c r="J90" s="1">
        <f>Table2[[#This Row],[Deals Closed]]/Table2[[#This Row],[Leads Generated]]</f>
        <v>7.1428571428571425E-2</v>
      </c>
      <c r="K90" s="1">
        <f>Table2[[#This Row],[Deals Closed]]/Table2[[#This Row],[Demo Calls]]</f>
        <v>0.11864406779661017</v>
      </c>
      <c r="L90" s="2">
        <f>Table2[[#This Row],[Revenue]]/Table2[[#This Row],[Leads Generated]]</f>
        <v>2597.6428571428573</v>
      </c>
      <c r="M90" s="2">
        <f>Table2[[#This Row],[Marketing Spend]]/Table2[[#This Row],[Leads Generated]]</f>
        <v>1351.795918367347</v>
      </c>
      <c r="N90" s="2">
        <f>Table2[[#This Row],[Marketing Spend]]/Table2[[#This Row],[Deals Closed]]</f>
        <v>18925.142857142859</v>
      </c>
    </row>
    <row r="91" spans="1:14" x14ac:dyDescent="0.3">
      <c r="A91" t="s">
        <v>107</v>
      </c>
      <c r="B91" t="s">
        <v>18</v>
      </c>
      <c r="C91" t="s">
        <v>14</v>
      </c>
      <c r="D91">
        <v>80</v>
      </c>
      <c r="E91">
        <v>60</v>
      </c>
      <c r="F91">
        <v>8</v>
      </c>
      <c r="G91">
        <v>349296</v>
      </c>
      <c r="H91">
        <v>121806</v>
      </c>
      <c r="I91">
        <v>72</v>
      </c>
      <c r="J91" s="1">
        <f>Table2[[#This Row],[Deals Closed]]/Table2[[#This Row],[Leads Generated]]</f>
        <v>0.1</v>
      </c>
      <c r="K91" s="1">
        <f>Table2[[#This Row],[Deals Closed]]/Table2[[#This Row],[Demo Calls]]</f>
        <v>0.13333333333333333</v>
      </c>
      <c r="L91" s="2">
        <f>Table2[[#This Row],[Revenue]]/Table2[[#This Row],[Leads Generated]]</f>
        <v>4366.2</v>
      </c>
      <c r="M91" s="2">
        <f>Table2[[#This Row],[Marketing Spend]]/Table2[[#This Row],[Leads Generated]]</f>
        <v>1522.575</v>
      </c>
      <c r="N91" s="2">
        <f>Table2[[#This Row],[Marketing Spend]]/Table2[[#This Row],[Deals Closed]]</f>
        <v>15225.75</v>
      </c>
    </row>
    <row r="92" spans="1:14" x14ac:dyDescent="0.3">
      <c r="A92" t="s">
        <v>108</v>
      </c>
      <c r="B92" t="s">
        <v>18</v>
      </c>
      <c r="C92" t="s">
        <v>16</v>
      </c>
      <c r="D92">
        <v>85</v>
      </c>
      <c r="E92">
        <v>73</v>
      </c>
      <c r="F92">
        <v>8</v>
      </c>
      <c r="G92">
        <v>364472</v>
      </c>
      <c r="H92">
        <v>86066</v>
      </c>
      <c r="I92">
        <v>29</v>
      </c>
      <c r="J92" s="1">
        <f>Table2[[#This Row],[Deals Closed]]/Table2[[#This Row],[Leads Generated]]</f>
        <v>9.4117647058823528E-2</v>
      </c>
      <c r="K92" s="1">
        <f>Table2[[#This Row],[Deals Closed]]/Table2[[#This Row],[Demo Calls]]</f>
        <v>0.1095890410958904</v>
      </c>
      <c r="L92" s="2">
        <f>Table2[[#This Row],[Revenue]]/Table2[[#This Row],[Leads Generated]]</f>
        <v>4287.9058823529413</v>
      </c>
      <c r="M92" s="2">
        <f>Table2[[#This Row],[Marketing Spend]]/Table2[[#This Row],[Leads Generated]]</f>
        <v>1012.5411764705882</v>
      </c>
      <c r="N92" s="2">
        <f>Table2[[#This Row],[Marketing Spend]]/Table2[[#This Row],[Deals Closed]]</f>
        <v>10758.25</v>
      </c>
    </row>
    <row r="93" spans="1:14" x14ac:dyDescent="0.3">
      <c r="A93" t="s">
        <v>109</v>
      </c>
      <c r="B93" t="s">
        <v>18</v>
      </c>
      <c r="C93" t="s">
        <v>14</v>
      </c>
      <c r="D93">
        <v>62</v>
      </c>
      <c r="E93">
        <v>52</v>
      </c>
      <c r="F93">
        <v>7</v>
      </c>
      <c r="G93">
        <v>382032</v>
      </c>
      <c r="H93">
        <v>16132</v>
      </c>
      <c r="I93">
        <v>67</v>
      </c>
      <c r="J93" s="1">
        <f>Table2[[#This Row],[Deals Closed]]/Table2[[#This Row],[Leads Generated]]</f>
        <v>0.11290322580645161</v>
      </c>
      <c r="K93" s="1">
        <f>Table2[[#This Row],[Deals Closed]]/Table2[[#This Row],[Demo Calls]]</f>
        <v>0.13461538461538461</v>
      </c>
      <c r="L93" s="2">
        <f>Table2[[#This Row],[Revenue]]/Table2[[#This Row],[Leads Generated]]</f>
        <v>6161.8064516129034</v>
      </c>
      <c r="M93" s="2">
        <f>Table2[[#This Row],[Marketing Spend]]/Table2[[#This Row],[Leads Generated]]</f>
        <v>260.19354838709677</v>
      </c>
      <c r="N93" s="2">
        <f>Table2[[#This Row],[Marketing Spend]]/Table2[[#This Row],[Deals Closed]]</f>
        <v>2304.5714285714284</v>
      </c>
    </row>
    <row r="94" spans="1:14" x14ac:dyDescent="0.3">
      <c r="A94" t="s">
        <v>110</v>
      </c>
      <c r="B94" t="s">
        <v>13</v>
      </c>
      <c r="C94" t="s">
        <v>16</v>
      </c>
      <c r="D94">
        <v>179</v>
      </c>
      <c r="E94">
        <v>137</v>
      </c>
      <c r="F94">
        <v>19</v>
      </c>
      <c r="G94">
        <v>677464</v>
      </c>
      <c r="H94">
        <v>63488</v>
      </c>
      <c r="I94">
        <v>28</v>
      </c>
      <c r="J94" s="1">
        <f>Table2[[#This Row],[Deals Closed]]/Table2[[#This Row],[Leads Generated]]</f>
        <v>0.10614525139664804</v>
      </c>
      <c r="K94" s="1">
        <f>Table2[[#This Row],[Deals Closed]]/Table2[[#This Row],[Demo Calls]]</f>
        <v>0.13868613138686131</v>
      </c>
      <c r="L94" s="2">
        <f>Table2[[#This Row],[Revenue]]/Table2[[#This Row],[Leads Generated]]</f>
        <v>3784.7150837988825</v>
      </c>
      <c r="M94" s="2">
        <f>Table2[[#This Row],[Marketing Spend]]/Table2[[#This Row],[Leads Generated]]</f>
        <v>354.68156424581008</v>
      </c>
      <c r="N94" s="2">
        <f>Table2[[#This Row],[Marketing Spend]]/Table2[[#This Row],[Deals Closed]]</f>
        <v>3341.4736842105262</v>
      </c>
    </row>
    <row r="95" spans="1:14" x14ac:dyDescent="0.3">
      <c r="A95" t="s">
        <v>111</v>
      </c>
      <c r="B95" t="s">
        <v>10</v>
      </c>
      <c r="C95" t="s">
        <v>14</v>
      </c>
      <c r="D95">
        <v>155</v>
      </c>
      <c r="E95">
        <v>115</v>
      </c>
      <c r="F95">
        <v>23</v>
      </c>
      <c r="G95">
        <v>947715</v>
      </c>
      <c r="H95">
        <v>41768</v>
      </c>
      <c r="I95">
        <v>75</v>
      </c>
      <c r="J95" s="1">
        <f>Table2[[#This Row],[Deals Closed]]/Table2[[#This Row],[Leads Generated]]</f>
        <v>0.14838709677419354</v>
      </c>
      <c r="K95" s="1">
        <f>Table2[[#This Row],[Deals Closed]]/Table2[[#This Row],[Demo Calls]]</f>
        <v>0.2</v>
      </c>
      <c r="L95" s="2">
        <f>Table2[[#This Row],[Revenue]]/Table2[[#This Row],[Leads Generated]]</f>
        <v>6114.2903225806449</v>
      </c>
      <c r="M95" s="2">
        <f>Table2[[#This Row],[Marketing Spend]]/Table2[[#This Row],[Leads Generated]]</f>
        <v>269.47096774193551</v>
      </c>
      <c r="N95" s="2">
        <f>Table2[[#This Row],[Marketing Spend]]/Table2[[#This Row],[Deals Closed]]</f>
        <v>1816</v>
      </c>
    </row>
    <row r="96" spans="1:14" x14ac:dyDescent="0.3">
      <c r="A96" t="s">
        <v>112</v>
      </c>
      <c r="B96" t="s">
        <v>18</v>
      </c>
      <c r="C96" t="s">
        <v>14</v>
      </c>
      <c r="D96">
        <v>115</v>
      </c>
      <c r="E96">
        <v>85</v>
      </c>
      <c r="F96">
        <v>13</v>
      </c>
      <c r="G96">
        <v>597870</v>
      </c>
      <c r="H96">
        <v>66432</v>
      </c>
      <c r="I96">
        <v>68</v>
      </c>
      <c r="J96" s="1">
        <f>Table2[[#This Row],[Deals Closed]]/Table2[[#This Row],[Leads Generated]]</f>
        <v>0.11304347826086956</v>
      </c>
      <c r="K96" s="1">
        <f>Table2[[#This Row],[Deals Closed]]/Table2[[#This Row],[Demo Calls]]</f>
        <v>0.15294117647058825</v>
      </c>
      <c r="L96" s="2">
        <f>Table2[[#This Row],[Revenue]]/Table2[[#This Row],[Leads Generated]]</f>
        <v>5198.869565217391</v>
      </c>
      <c r="M96" s="2">
        <f>Table2[[#This Row],[Marketing Spend]]/Table2[[#This Row],[Leads Generated]]</f>
        <v>577.66956521739132</v>
      </c>
      <c r="N96" s="2">
        <f>Table2[[#This Row],[Marketing Spend]]/Table2[[#This Row],[Deals Closed]]</f>
        <v>5110.1538461538457</v>
      </c>
    </row>
    <row r="97" spans="1:14" x14ac:dyDescent="0.3">
      <c r="A97" t="s">
        <v>113</v>
      </c>
      <c r="B97" t="s">
        <v>24</v>
      </c>
      <c r="C97" t="s">
        <v>16</v>
      </c>
      <c r="D97">
        <v>121</v>
      </c>
      <c r="E97">
        <v>112</v>
      </c>
      <c r="F97">
        <v>8</v>
      </c>
      <c r="G97">
        <v>352608</v>
      </c>
      <c r="H97">
        <v>15910</v>
      </c>
      <c r="I97">
        <v>55</v>
      </c>
      <c r="J97" s="1">
        <f>Table2[[#This Row],[Deals Closed]]/Table2[[#This Row],[Leads Generated]]</f>
        <v>6.6115702479338845E-2</v>
      </c>
      <c r="K97" s="1">
        <f>Table2[[#This Row],[Deals Closed]]/Table2[[#This Row],[Demo Calls]]</f>
        <v>7.1428571428571425E-2</v>
      </c>
      <c r="L97" s="2">
        <f>Table2[[#This Row],[Revenue]]/Table2[[#This Row],[Leads Generated]]</f>
        <v>2914.1157024793388</v>
      </c>
      <c r="M97" s="2">
        <f>Table2[[#This Row],[Marketing Spend]]/Table2[[#This Row],[Leads Generated]]</f>
        <v>131.48760330578511</v>
      </c>
      <c r="N97" s="2">
        <f>Table2[[#This Row],[Marketing Spend]]/Table2[[#This Row],[Deals Closed]]</f>
        <v>1988.75</v>
      </c>
    </row>
    <row r="98" spans="1:14" x14ac:dyDescent="0.3">
      <c r="A98" t="s">
        <v>114</v>
      </c>
      <c r="B98" t="s">
        <v>18</v>
      </c>
      <c r="C98" t="s">
        <v>21</v>
      </c>
      <c r="D98">
        <v>149</v>
      </c>
      <c r="E98">
        <v>122</v>
      </c>
      <c r="F98">
        <v>17</v>
      </c>
      <c r="G98">
        <v>912271</v>
      </c>
      <c r="H98">
        <v>35925</v>
      </c>
      <c r="I98">
        <v>52</v>
      </c>
      <c r="J98" s="1">
        <f>Table2[[#This Row],[Deals Closed]]/Table2[[#This Row],[Leads Generated]]</f>
        <v>0.11409395973154363</v>
      </c>
      <c r="K98" s="1">
        <f>Table2[[#This Row],[Deals Closed]]/Table2[[#This Row],[Demo Calls]]</f>
        <v>0.13934426229508196</v>
      </c>
      <c r="L98" s="2">
        <f>Table2[[#This Row],[Revenue]]/Table2[[#This Row],[Leads Generated]]</f>
        <v>6122.6241610738252</v>
      </c>
      <c r="M98" s="2">
        <f>Table2[[#This Row],[Marketing Spend]]/Table2[[#This Row],[Leads Generated]]</f>
        <v>241.10738255033556</v>
      </c>
      <c r="N98" s="2">
        <f>Table2[[#This Row],[Marketing Spend]]/Table2[[#This Row],[Deals Closed]]</f>
        <v>2113.2352941176468</v>
      </c>
    </row>
    <row r="99" spans="1:14" x14ac:dyDescent="0.3">
      <c r="A99" t="s">
        <v>115</v>
      </c>
      <c r="B99" t="s">
        <v>18</v>
      </c>
      <c r="C99" t="s">
        <v>31</v>
      </c>
      <c r="D99">
        <v>131</v>
      </c>
      <c r="E99">
        <v>98</v>
      </c>
      <c r="F99">
        <v>16</v>
      </c>
      <c r="G99">
        <v>694656</v>
      </c>
      <c r="H99">
        <v>55805</v>
      </c>
      <c r="I99">
        <v>56</v>
      </c>
      <c r="J99" s="1">
        <f>Table2[[#This Row],[Deals Closed]]/Table2[[#This Row],[Leads Generated]]</f>
        <v>0.12213740458015267</v>
      </c>
      <c r="K99" s="1">
        <f>Table2[[#This Row],[Deals Closed]]/Table2[[#This Row],[Demo Calls]]</f>
        <v>0.16326530612244897</v>
      </c>
      <c r="L99" s="2">
        <f>Table2[[#This Row],[Revenue]]/Table2[[#This Row],[Leads Generated]]</f>
        <v>5302.7175572519081</v>
      </c>
      <c r="M99" s="2">
        <f>Table2[[#This Row],[Marketing Spend]]/Table2[[#This Row],[Leads Generated]]</f>
        <v>425.99236641221376</v>
      </c>
      <c r="N99" s="2">
        <f>Table2[[#This Row],[Marketing Spend]]/Table2[[#This Row],[Deals Closed]]</f>
        <v>3487.8125</v>
      </c>
    </row>
    <row r="100" spans="1:14" x14ac:dyDescent="0.3">
      <c r="A100" t="s">
        <v>116</v>
      </c>
      <c r="B100" t="s">
        <v>10</v>
      </c>
      <c r="C100" t="s">
        <v>14</v>
      </c>
      <c r="D100">
        <v>82</v>
      </c>
      <c r="E100">
        <v>60</v>
      </c>
      <c r="F100">
        <v>11</v>
      </c>
      <c r="G100">
        <v>545963</v>
      </c>
      <c r="H100">
        <v>41150</v>
      </c>
      <c r="I100">
        <v>33</v>
      </c>
      <c r="J100" s="1">
        <f>Table2[[#This Row],[Deals Closed]]/Table2[[#This Row],[Leads Generated]]</f>
        <v>0.13414634146341464</v>
      </c>
      <c r="K100" s="1">
        <f>Table2[[#This Row],[Deals Closed]]/Table2[[#This Row],[Demo Calls]]</f>
        <v>0.18333333333333332</v>
      </c>
      <c r="L100" s="2">
        <f>Table2[[#This Row],[Revenue]]/Table2[[#This Row],[Leads Generated]]</f>
        <v>6658.0853658536589</v>
      </c>
      <c r="M100" s="2">
        <f>Table2[[#This Row],[Marketing Spend]]/Table2[[#This Row],[Leads Generated]]</f>
        <v>501.82926829268291</v>
      </c>
      <c r="N100" s="2">
        <f>Table2[[#This Row],[Marketing Spend]]/Table2[[#This Row],[Deals Closed]]</f>
        <v>3740.909090909091</v>
      </c>
    </row>
    <row r="101" spans="1:14" x14ac:dyDescent="0.3">
      <c r="A101" t="s">
        <v>117</v>
      </c>
      <c r="B101" t="s">
        <v>18</v>
      </c>
      <c r="C101" t="s">
        <v>14</v>
      </c>
      <c r="D101">
        <v>138</v>
      </c>
      <c r="E101">
        <v>109</v>
      </c>
      <c r="F101">
        <v>13</v>
      </c>
      <c r="G101">
        <v>577213</v>
      </c>
      <c r="H101">
        <v>19081</v>
      </c>
      <c r="I101">
        <v>54</v>
      </c>
      <c r="J101" s="1">
        <f>Table2[[#This Row],[Deals Closed]]/Table2[[#This Row],[Leads Generated]]</f>
        <v>9.420289855072464E-2</v>
      </c>
      <c r="K101" s="1">
        <f>Table2[[#This Row],[Deals Closed]]/Table2[[#This Row],[Demo Calls]]</f>
        <v>0.11926605504587157</v>
      </c>
      <c r="L101" s="2">
        <f>Table2[[#This Row],[Revenue]]/Table2[[#This Row],[Leads Generated]]</f>
        <v>4182.702898550725</v>
      </c>
      <c r="M101" s="2">
        <f>Table2[[#This Row],[Marketing Spend]]/Table2[[#This Row],[Leads Generated]]</f>
        <v>138.268115942029</v>
      </c>
      <c r="N101" s="2">
        <f>Table2[[#This Row],[Marketing Spend]]/Table2[[#This Row],[Deals Closed]]</f>
        <v>1467.7692307692307</v>
      </c>
    </row>
    <row r="102" spans="1:14" x14ac:dyDescent="0.3">
      <c r="A102" t="s">
        <v>118</v>
      </c>
      <c r="B102" t="s">
        <v>13</v>
      </c>
      <c r="C102" t="s">
        <v>14</v>
      </c>
      <c r="D102">
        <v>115</v>
      </c>
      <c r="E102">
        <v>97</v>
      </c>
      <c r="F102">
        <v>8</v>
      </c>
      <c r="G102">
        <v>283704</v>
      </c>
      <c r="H102">
        <v>98993</v>
      </c>
      <c r="I102">
        <v>56</v>
      </c>
      <c r="J102" s="1">
        <f>Table2[[#This Row],[Deals Closed]]/Table2[[#This Row],[Leads Generated]]</f>
        <v>6.9565217391304349E-2</v>
      </c>
      <c r="K102" s="1">
        <f>Table2[[#This Row],[Deals Closed]]/Table2[[#This Row],[Demo Calls]]</f>
        <v>8.247422680412371E-2</v>
      </c>
      <c r="L102" s="2">
        <f>Table2[[#This Row],[Revenue]]/Table2[[#This Row],[Leads Generated]]</f>
        <v>2466.9913043478259</v>
      </c>
      <c r="M102" s="2">
        <f>Table2[[#This Row],[Marketing Spend]]/Table2[[#This Row],[Leads Generated]]</f>
        <v>860.80869565217392</v>
      </c>
      <c r="N102" s="2">
        <f>Table2[[#This Row],[Marketing Spend]]/Table2[[#This Row],[Deals Closed]]</f>
        <v>12374.125</v>
      </c>
    </row>
    <row r="103" spans="1:14" x14ac:dyDescent="0.3">
      <c r="A103" t="s">
        <v>119</v>
      </c>
      <c r="B103" t="s">
        <v>18</v>
      </c>
      <c r="C103" t="s">
        <v>21</v>
      </c>
      <c r="D103">
        <v>131</v>
      </c>
      <c r="E103">
        <v>77</v>
      </c>
      <c r="F103">
        <v>14</v>
      </c>
      <c r="G103">
        <v>524174</v>
      </c>
      <c r="H103">
        <v>73706</v>
      </c>
      <c r="I103">
        <v>76</v>
      </c>
      <c r="J103" s="1">
        <f>Table2[[#This Row],[Deals Closed]]/Table2[[#This Row],[Leads Generated]]</f>
        <v>0.10687022900763359</v>
      </c>
      <c r="K103" s="1">
        <f>Table2[[#This Row],[Deals Closed]]/Table2[[#This Row],[Demo Calls]]</f>
        <v>0.18181818181818182</v>
      </c>
      <c r="L103" s="2">
        <f>Table2[[#This Row],[Revenue]]/Table2[[#This Row],[Leads Generated]]</f>
        <v>4001.3282442748091</v>
      </c>
      <c r="M103" s="2">
        <f>Table2[[#This Row],[Marketing Spend]]/Table2[[#This Row],[Leads Generated]]</f>
        <v>562.64122137404581</v>
      </c>
      <c r="N103" s="2">
        <f>Table2[[#This Row],[Marketing Spend]]/Table2[[#This Row],[Deals Closed]]</f>
        <v>5264.7142857142853</v>
      </c>
    </row>
    <row r="104" spans="1:14" x14ac:dyDescent="0.3">
      <c r="A104" t="s">
        <v>120</v>
      </c>
      <c r="B104" t="s">
        <v>10</v>
      </c>
      <c r="C104" t="s">
        <v>11</v>
      </c>
      <c r="D104">
        <v>81</v>
      </c>
      <c r="E104">
        <v>28</v>
      </c>
      <c r="F104">
        <v>5</v>
      </c>
      <c r="G104">
        <v>195625</v>
      </c>
      <c r="H104">
        <v>114663</v>
      </c>
      <c r="I104">
        <v>45</v>
      </c>
      <c r="J104" s="1">
        <f>Table2[[#This Row],[Deals Closed]]/Table2[[#This Row],[Leads Generated]]</f>
        <v>6.1728395061728392E-2</v>
      </c>
      <c r="K104" s="1">
        <f>Table2[[#This Row],[Deals Closed]]/Table2[[#This Row],[Demo Calls]]</f>
        <v>0.17857142857142858</v>
      </c>
      <c r="L104" s="2">
        <f>Table2[[#This Row],[Revenue]]/Table2[[#This Row],[Leads Generated]]</f>
        <v>2415.1234567901233</v>
      </c>
      <c r="M104" s="2">
        <f>Table2[[#This Row],[Marketing Spend]]/Table2[[#This Row],[Leads Generated]]</f>
        <v>1415.5925925925926</v>
      </c>
      <c r="N104" s="2">
        <f>Table2[[#This Row],[Marketing Spend]]/Table2[[#This Row],[Deals Closed]]</f>
        <v>22932.6</v>
      </c>
    </row>
    <row r="105" spans="1:14" x14ac:dyDescent="0.3">
      <c r="A105" t="s">
        <v>121</v>
      </c>
      <c r="B105" t="s">
        <v>10</v>
      </c>
      <c r="C105" t="s">
        <v>21</v>
      </c>
      <c r="D105">
        <v>107</v>
      </c>
      <c r="E105">
        <v>52</v>
      </c>
      <c r="F105">
        <v>4</v>
      </c>
      <c r="G105">
        <v>204300</v>
      </c>
      <c r="H105">
        <v>120958</v>
      </c>
      <c r="I105">
        <v>39</v>
      </c>
      <c r="J105" s="1">
        <f>Table2[[#This Row],[Deals Closed]]/Table2[[#This Row],[Leads Generated]]</f>
        <v>3.7383177570093455E-2</v>
      </c>
      <c r="K105" s="1">
        <f>Table2[[#This Row],[Deals Closed]]/Table2[[#This Row],[Demo Calls]]</f>
        <v>7.6923076923076927E-2</v>
      </c>
      <c r="L105" s="2">
        <f>Table2[[#This Row],[Revenue]]/Table2[[#This Row],[Leads Generated]]</f>
        <v>1909.3457943925234</v>
      </c>
      <c r="M105" s="2">
        <f>Table2[[#This Row],[Marketing Spend]]/Table2[[#This Row],[Leads Generated]]</f>
        <v>1130.4485981308412</v>
      </c>
      <c r="N105" s="2">
        <f>Table2[[#This Row],[Marketing Spend]]/Table2[[#This Row],[Deals Closed]]</f>
        <v>30239.5</v>
      </c>
    </row>
    <row r="106" spans="1:14" x14ac:dyDescent="0.3">
      <c r="A106" t="s">
        <v>122</v>
      </c>
      <c r="B106" t="s">
        <v>13</v>
      </c>
      <c r="C106" t="s">
        <v>11</v>
      </c>
      <c r="D106">
        <v>108</v>
      </c>
      <c r="E106">
        <v>70</v>
      </c>
      <c r="F106">
        <v>15</v>
      </c>
      <c r="G106">
        <v>689670</v>
      </c>
      <c r="H106">
        <v>102232</v>
      </c>
      <c r="I106">
        <v>33</v>
      </c>
      <c r="J106" s="1">
        <f>Table2[[#This Row],[Deals Closed]]/Table2[[#This Row],[Leads Generated]]</f>
        <v>0.1388888888888889</v>
      </c>
      <c r="K106" s="1">
        <f>Table2[[#This Row],[Deals Closed]]/Table2[[#This Row],[Demo Calls]]</f>
        <v>0.21428571428571427</v>
      </c>
      <c r="L106" s="2">
        <f>Table2[[#This Row],[Revenue]]/Table2[[#This Row],[Leads Generated]]</f>
        <v>6385.833333333333</v>
      </c>
      <c r="M106" s="2">
        <f>Table2[[#This Row],[Marketing Spend]]/Table2[[#This Row],[Leads Generated]]</f>
        <v>946.59259259259261</v>
      </c>
      <c r="N106" s="2">
        <f>Table2[[#This Row],[Marketing Spend]]/Table2[[#This Row],[Deals Closed]]</f>
        <v>6815.4666666666662</v>
      </c>
    </row>
    <row r="107" spans="1:14" x14ac:dyDescent="0.3">
      <c r="A107" t="s">
        <v>123</v>
      </c>
      <c r="B107" t="s">
        <v>10</v>
      </c>
      <c r="C107" t="s">
        <v>11</v>
      </c>
      <c r="D107">
        <v>170</v>
      </c>
      <c r="E107">
        <v>89</v>
      </c>
      <c r="F107">
        <v>16</v>
      </c>
      <c r="G107">
        <v>830896</v>
      </c>
      <c r="H107">
        <v>26140</v>
      </c>
      <c r="I107">
        <v>74</v>
      </c>
      <c r="J107" s="1">
        <f>Table2[[#This Row],[Deals Closed]]/Table2[[#This Row],[Leads Generated]]</f>
        <v>9.4117647058823528E-2</v>
      </c>
      <c r="K107" s="1">
        <f>Table2[[#This Row],[Deals Closed]]/Table2[[#This Row],[Demo Calls]]</f>
        <v>0.1797752808988764</v>
      </c>
      <c r="L107" s="2">
        <f>Table2[[#This Row],[Revenue]]/Table2[[#This Row],[Leads Generated]]</f>
        <v>4887.623529411765</v>
      </c>
      <c r="M107" s="2">
        <f>Table2[[#This Row],[Marketing Spend]]/Table2[[#This Row],[Leads Generated]]</f>
        <v>153.76470588235293</v>
      </c>
      <c r="N107" s="2">
        <f>Table2[[#This Row],[Marketing Spend]]/Table2[[#This Row],[Deals Closed]]</f>
        <v>1633.75</v>
      </c>
    </row>
    <row r="108" spans="1:14" x14ac:dyDescent="0.3">
      <c r="A108" t="s">
        <v>124</v>
      </c>
      <c r="B108" t="s">
        <v>18</v>
      </c>
      <c r="C108" t="s">
        <v>31</v>
      </c>
      <c r="D108">
        <v>193</v>
      </c>
      <c r="E108">
        <v>144</v>
      </c>
      <c r="F108">
        <v>29</v>
      </c>
      <c r="G108">
        <v>1138975</v>
      </c>
      <c r="H108">
        <v>50566</v>
      </c>
      <c r="I108">
        <v>41</v>
      </c>
      <c r="J108" s="1">
        <f>Table2[[#This Row],[Deals Closed]]/Table2[[#This Row],[Leads Generated]]</f>
        <v>0.15025906735751296</v>
      </c>
      <c r="K108" s="1">
        <f>Table2[[#This Row],[Deals Closed]]/Table2[[#This Row],[Demo Calls]]</f>
        <v>0.2013888888888889</v>
      </c>
      <c r="L108" s="2">
        <f>Table2[[#This Row],[Revenue]]/Table2[[#This Row],[Leads Generated]]</f>
        <v>5901.4248704663214</v>
      </c>
      <c r="M108" s="2">
        <f>Table2[[#This Row],[Marketing Spend]]/Table2[[#This Row],[Leads Generated]]</f>
        <v>262</v>
      </c>
      <c r="N108" s="2">
        <f>Table2[[#This Row],[Marketing Spend]]/Table2[[#This Row],[Deals Closed]]</f>
        <v>1743.655172413793</v>
      </c>
    </row>
    <row r="109" spans="1:14" x14ac:dyDescent="0.3">
      <c r="A109" t="s">
        <v>125</v>
      </c>
      <c r="B109" t="s">
        <v>18</v>
      </c>
      <c r="C109" t="s">
        <v>16</v>
      </c>
      <c r="D109">
        <v>190</v>
      </c>
      <c r="E109">
        <v>154</v>
      </c>
      <c r="F109">
        <v>16</v>
      </c>
      <c r="G109">
        <v>834208</v>
      </c>
      <c r="H109">
        <v>103627</v>
      </c>
      <c r="I109">
        <v>63</v>
      </c>
      <c r="J109" s="1">
        <f>Table2[[#This Row],[Deals Closed]]/Table2[[#This Row],[Leads Generated]]</f>
        <v>8.4210526315789472E-2</v>
      </c>
      <c r="K109" s="1">
        <f>Table2[[#This Row],[Deals Closed]]/Table2[[#This Row],[Demo Calls]]</f>
        <v>0.1038961038961039</v>
      </c>
      <c r="L109" s="2">
        <f>Table2[[#This Row],[Revenue]]/Table2[[#This Row],[Leads Generated]]</f>
        <v>4390.5684210526315</v>
      </c>
      <c r="M109" s="2">
        <f>Table2[[#This Row],[Marketing Spend]]/Table2[[#This Row],[Leads Generated]]</f>
        <v>545.40526315789475</v>
      </c>
      <c r="N109" s="2">
        <f>Table2[[#This Row],[Marketing Spend]]/Table2[[#This Row],[Deals Closed]]</f>
        <v>6476.6875</v>
      </c>
    </row>
    <row r="110" spans="1:14" x14ac:dyDescent="0.3">
      <c r="A110" t="s">
        <v>126</v>
      </c>
      <c r="B110" t="s">
        <v>10</v>
      </c>
      <c r="C110" t="s">
        <v>16</v>
      </c>
      <c r="D110">
        <v>88</v>
      </c>
      <c r="E110">
        <v>87</v>
      </c>
      <c r="F110">
        <v>10</v>
      </c>
      <c r="G110">
        <v>474560</v>
      </c>
      <c r="H110">
        <v>96602</v>
      </c>
      <c r="I110">
        <v>76</v>
      </c>
      <c r="J110" s="1">
        <f>Table2[[#This Row],[Deals Closed]]/Table2[[#This Row],[Leads Generated]]</f>
        <v>0.11363636363636363</v>
      </c>
      <c r="K110" s="1">
        <f>Table2[[#This Row],[Deals Closed]]/Table2[[#This Row],[Demo Calls]]</f>
        <v>0.11494252873563218</v>
      </c>
      <c r="L110" s="2">
        <f>Table2[[#This Row],[Revenue]]/Table2[[#This Row],[Leads Generated]]</f>
        <v>5392.727272727273</v>
      </c>
      <c r="M110" s="2">
        <f>Table2[[#This Row],[Marketing Spend]]/Table2[[#This Row],[Leads Generated]]</f>
        <v>1097.75</v>
      </c>
      <c r="N110" s="2">
        <f>Table2[[#This Row],[Marketing Spend]]/Table2[[#This Row],[Deals Closed]]</f>
        <v>9660.2000000000007</v>
      </c>
    </row>
    <row r="111" spans="1:14" x14ac:dyDescent="0.3">
      <c r="A111" t="s">
        <v>127</v>
      </c>
      <c r="B111" t="s">
        <v>18</v>
      </c>
      <c r="C111" t="s">
        <v>16</v>
      </c>
      <c r="D111">
        <v>93</v>
      </c>
      <c r="E111">
        <v>51</v>
      </c>
      <c r="F111">
        <v>11</v>
      </c>
      <c r="G111">
        <v>418044</v>
      </c>
      <c r="H111">
        <v>102203</v>
      </c>
      <c r="I111">
        <v>63</v>
      </c>
      <c r="J111" s="1">
        <f>Table2[[#This Row],[Deals Closed]]/Table2[[#This Row],[Leads Generated]]</f>
        <v>0.11827956989247312</v>
      </c>
      <c r="K111" s="1">
        <f>Table2[[#This Row],[Deals Closed]]/Table2[[#This Row],[Demo Calls]]</f>
        <v>0.21568627450980393</v>
      </c>
      <c r="L111" s="2">
        <f>Table2[[#This Row],[Revenue]]/Table2[[#This Row],[Leads Generated]]</f>
        <v>4495.0967741935483</v>
      </c>
      <c r="M111" s="2">
        <f>Table2[[#This Row],[Marketing Spend]]/Table2[[#This Row],[Leads Generated]]</f>
        <v>1098.9569892473119</v>
      </c>
      <c r="N111" s="2">
        <f>Table2[[#This Row],[Marketing Spend]]/Table2[[#This Row],[Deals Closed]]</f>
        <v>9291.181818181818</v>
      </c>
    </row>
    <row r="112" spans="1:14" x14ac:dyDescent="0.3">
      <c r="A112" t="s">
        <v>128</v>
      </c>
      <c r="B112" t="s">
        <v>18</v>
      </c>
      <c r="C112" t="s">
        <v>16</v>
      </c>
      <c r="D112">
        <v>159</v>
      </c>
      <c r="E112">
        <v>86</v>
      </c>
      <c r="F112">
        <v>15</v>
      </c>
      <c r="G112">
        <v>527835</v>
      </c>
      <c r="H112">
        <v>62967</v>
      </c>
      <c r="I112">
        <v>57</v>
      </c>
      <c r="J112" s="1">
        <f>Table2[[#This Row],[Deals Closed]]/Table2[[#This Row],[Leads Generated]]</f>
        <v>9.4339622641509441E-2</v>
      </c>
      <c r="K112" s="1">
        <f>Table2[[#This Row],[Deals Closed]]/Table2[[#This Row],[Demo Calls]]</f>
        <v>0.1744186046511628</v>
      </c>
      <c r="L112" s="2">
        <f>Table2[[#This Row],[Revenue]]/Table2[[#This Row],[Leads Generated]]</f>
        <v>3319.7169811320755</v>
      </c>
      <c r="M112" s="2">
        <f>Table2[[#This Row],[Marketing Spend]]/Table2[[#This Row],[Leads Generated]]</f>
        <v>396.01886792452831</v>
      </c>
      <c r="N112" s="2">
        <f>Table2[[#This Row],[Marketing Spend]]/Table2[[#This Row],[Deals Closed]]</f>
        <v>4197.8</v>
      </c>
    </row>
    <row r="113" spans="1:14" x14ac:dyDescent="0.3">
      <c r="A113" t="s">
        <v>129</v>
      </c>
      <c r="B113" t="s">
        <v>10</v>
      </c>
      <c r="C113" t="s">
        <v>14</v>
      </c>
      <c r="D113">
        <v>88</v>
      </c>
      <c r="E113">
        <v>38</v>
      </c>
      <c r="F113">
        <v>3</v>
      </c>
      <c r="G113">
        <v>113727</v>
      </c>
      <c r="H113">
        <v>107303</v>
      </c>
      <c r="I113">
        <v>53</v>
      </c>
      <c r="J113" s="1">
        <f>Table2[[#This Row],[Deals Closed]]/Table2[[#This Row],[Leads Generated]]</f>
        <v>3.4090909090909088E-2</v>
      </c>
      <c r="K113" s="1">
        <f>Table2[[#This Row],[Deals Closed]]/Table2[[#This Row],[Demo Calls]]</f>
        <v>7.8947368421052627E-2</v>
      </c>
      <c r="L113" s="2">
        <f>Table2[[#This Row],[Revenue]]/Table2[[#This Row],[Leads Generated]]</f>
        <v>1292.3522727272727</v>
      </c>
      <c r="M113" s="2">
        <f>Table2[[#This Row],[Marketing Spend]]/Table2[[#This Row],[Leads Generated]]</f>
        <v>1219.3522727272727</v>
      </c>
      <c r="N113" s="2">
        <f>Table2[[#This Row],[Marketing Spend]]/Table2[[#This Row],[Deals Closed]]</f>
        <v>35767.666666666664</v>
      </c>
    </row>
    <row r="114" spans="1:14" x14ac:dyDescent="0.3">
      <c r="A114" t="s">
        <v>130</v>
      </c>
      <c r="B114" t="s">
        <v>18</v>
      </c>
      <c r="C114" t="s">
        <v>16</v>
      </c>
      <c r="D114">
        <v>98</v>
      </c>
      <c r="E114">
        <v>42</v>
      </c>
      <c r="F114">
        <v>6</v>
      </c>
      <c r="G114">
        <v>309114</v>
      </c>
      <c r="H114">
        <v>144929</v>
      </c>
      <c r="I114">
        <v>35</v>
      </c>
      <c r="J114" s="1">
        <f>Table2[[#This Row],[Deals Closed]]/Table2[[#This Row],[Leads Generated]]</f>
        <v>6.1224489795918366E-2</v>
      </c>
      <c r="K114" s="1">
        <f>Table2[[#This Row],[Deals Closed]]/Table2[[#This Row],[Demo Calls]]</f>
        <v>0.14285714285714285</v>
      </c>
      <c r="L114" s="2">
        <f>Table2[[#This Row],[Revenue]]/Table2[[#This Row],[Leads Generated]]</f>
        <v>3154.2244897959185</v>
      </c>
      <c r="M114" s="2">
        <f>Table2[[#This Row],[Marketing Spend]]/Table2[[#This Row],[Leads Generated]]</f>
        <v>1478.8673469387754</v>
      </c>
      <c r="N114" s="2">
        <f>Table2[[#This Row],[Marketing Spend]]/Table2[[#This Row],[Deals Closed]]</f>
        <v>24154.833333333332</v>
      </c>
    </row>
    <row r="115" spans="1:14" x14ac:dyDescent="0.3">
      <c r="A115" t="s">
        <v>131</v>
      </c>
      <c r="B115" t="s">
        <v>10</v>
      </c>
      <c r="C115" t="s">
        <v>31</v>
      </c>
      <c r="D115">
        <v>84</v>
      </c>
      <c r="E115">
        <v>66</v>
      </c>
      <c r="F115">
        <v>10</v>
      </c>
      <c r="G115">
        <v>433300</v>
      </c>
      <c r="H115">
        <v>65097</v>
      </c>
      <c r="I115">
        <v>29</v>
      </c>
      <c r="J115" s="1">
        <f>Table2[[#This Row],[Deals Closed]]/Table2[[#This Row],[Leads Generated]]</f>
        <v>0.11904761904761904</v>
      </c>
      <c r="K115" s="1">
        <f>Table2[[#This Row],[Deals Closed]]/Table2[[#This Row],[Demo Calls]]</f>
        <v>0.15151515151515152</v>
      </c>
      <c r="L115" s="2">
        <f>Table2[[#This Row],[Revenue]]/Table2[[#This Row],[Leads Generated]]</f>
        <v>5158.333333333333</v>
      </c>
      <c r="M115" s="2">
        <f>Table2[[#This Row],[Marketing Spend]]/Table2[[#This Row],[Leads Generated]]</f>
        <v>774.96428571428567</v>
      </c>
      <c r="N115" s="2">
        <f>Table2[[#This Row],[Marketing Spend]]/Table2[[#This Row],[Deals Closed]]</f>
        <v>6509.7</v>
      </c>
    </row>
    <row r="116" spans="1:14" x14ac:dyDescent="0.3">
      <c r="A116" t="s">
        <v>132</v>
      </c>
      <c r="B116" t="s">
        <v>13</v>
      </c>
      <c r="C116" t="s">
        <v>16</v>
      </c>
      <c r="D116">
        <v>135</v>
      </c>
      <c r="E116">
        <v>85</v>
      </c>
      <c r="F116">
        <v>12</v>
      </c>
      <c r="G116">
        <v>588984</v>
      </c>
      <c r="H116">
        <v>36482</v>
      </c>
      <c r="I116">
        <v>60</v>
      </c>
      <c r="J116" s="1">
        <f>Table2[[#This Row],[Deals Closed]]/Table2[[#This Row],[Leads Generated]]</f>
        <v>8.8888888888888892E-2</v>
      </c>
      <c r="K116" s="1">
        <f>Table2[[#This Row],[Deals Closed]]/Table2[[#This Row],[Demo Calls]]</f>
        <v>0.14117647058823529</v>
      </c>
      <c r="L116" s="2">
        <f>Table2[[#This Row],[Revenue]]/Table2[[#This Row],[Leads Generated]]</f>
        <v>4362.8444444444449</v>
      </c>
      <c r="M116" s="2">
        <f>Table2[[#This Row],[Marketing Spend]]/Table2[[#This Row],[Leads Generated]]</f>
        <v>270.23703703703706</v>
      </c>
      <c r="N116" s="2">
        <f>Table2[[#This Row],[Marketing Spend]]/Table2[[#This Row],[Deals Closed]]</f>
        <v>3040.1666666666665</v>
      </c>
    </row>
    <row r="117" spans="1:14" x14ac:dyDescent="0.3">
      <c r="A117" t="s">
        <v>133</v>
      </c>
      <c r="B117" t="s">
        <v>24</v>
      </c>
      <c r="C117" t="s">
        <v>14</v>
      </c>
      <c r="D117">
        <v>74</v>
      </c>
      <c r="E117">
        <v>56</v>
      </c>
      <c r="F117">
        <v>11</v>
      </c>
      <c r="G117">
        <v>550726</v>
      </c>
      <c r="H117">
        <v>46368</v>
      </c>
      <c r="I117">
        <v>56</v>
      </c>
      <c r="J117" s="1">
        <f>Table2[[#This Row],[Deals Closed]]/Table2[[#This Row],[Leads Generated]]</f>
        <v>0.14864864864864866</v>
      </c>
      <c r="K117" s="1">
        <f>Table2[[#This Row],[Deals Closed]]/Table2[[#This Row],[Demo Calls]]</f>
        <v>0.19642857142857142</v>
      </c>
      <c r="L117" s="2">
        <f>Table2[[#This Row],[Revenue]]/Table2[[#This Row],[Leads Generated]]</f>
        <v>7442.2432432432433</v>
      </c>
      <c r="M117" s="2">
        <f>Table2[[#This Row],[Marketing Spend]]/Table2[[#This Row],[Leads Generated]]</f>
        <v>626.59459459459458</v>
      </c>
      <c r="N117" s="2">
        <f>Table2[[#This Row],[Marketing Spend]]/Table2[[#This Row],[Deals Closed]]</f>
        <v>4215.272727272727</v>
      </c>
    </row>
    <row r="118" spans="1:14" x14ac:dyDescent="0.3">
      <c r="A118" t="s">
        <v>134</v>
      </c>
      <c r="B118" t="s">
        <v>24</v>
      </c>
      <c r="C118" t="s">
        <v>14</v>
      </c>
      <c r="D118">
        <v>61</v>
      </c>
      <c r="E118">
        <v>24</v>
      </c>
      <c r="F118">
        <v>2</v>
      </c>
      <c r="G118">
        <v>81128</v>
      </c>
      <c r="H118">
        <v>131686</v>
      </c>
      <c r="I118">
        <v>40</v>
      </c>
      <c r="J118" s="1">
        <f>Table2[[#This Row],[Deals Closed]]/Table2[[#This Row],[Leads Generated]]</f>
        <v>3.2786885245901641E-2</v>
      </c>
      <c r="K118" s="1">
        <f>Table2[[#This Row],[Deals Closed]]/Table2[[#This Row],[Demo Calls]]</f>
        <v>8.3333333333333329E-2</v>
      </c>
      <c r="L118" s="2">
        <f>Table2[[#This Row],[Revenue]]/Table2[[#This Row],[Leads Generated]]</f>
        <v>1329.967213114754</v>
      </c>
      <c r="M118" s="2">
        <f>Table2[[#This Row],[Marketing Spend]]/Table2[[#This Row],[Leads Generated]]</f>
        <v>2158.7868852459014</v>
      </c>
      <c r="N118" s="2">
        <f>Table2[[#This Row],[Marketing Spend]]/Table2[[#This Row],[Deals Closed]]</f>
        <v>65843</v>
      </c>
    </row>
    <row r="119" spans="1:14" x14ac:dyDescent="0.3">
      <c r="A119" t="s">
        <v>135</v>
      </c>
      <c r="B119" t="s">
        <v>10</v>
      </c>
      <c r="C119" t="s">
        <v>21</v>
      </c>
      <c r="D119">
        <v>184</v>
      </c>
      <c r="E119">
        <v>75</v>
      </c>
      <c r="F119">
        <v>14</v>
      </c>
      <c r="G119">
        <v>577724</v>
      </c>
      <c r="H119">
        <v>38256</v>
      </c>
      <c r="I119">
        <v>59</v>
      </c>
      <c r="J119" s="1">
        <f>Table2[[#This Row],[Deals Closed]]/Table2[[#This Row],[Leads Generated]]</f>
        <v>7.6086956521739135E-2</v>
      </c>
      <c r="K119" s="1">
        <f>Table2[[#This Row],[Deals Closed]]/Table2[[#This Row],[Demo Calls]]</f>
        <v>0.18666666666666668</v>
      </c>
      <c r="L119" s="2">
        <f>Table2[[#This Row],[Revenue]]/Table2[[#This Row],[Leads Generated]]</f>
        <v>3139.804347826087</v>
      </c>
      <c r="M119" s="2">
        <f>Table2[[#This Row],[Marketing Spend]]/Table2[[#This Row],[Leads Generated]]</f>
        <v>207.91304347826087</v>
      </c>
      <c r="N119" s="2">
        <f>Table2[[#This Row],[Marketing Spend]]/Table2[[#This Row],[Deals Closed]]</f>
        <v>2732.5714285714284</v>
      </c>
    </row>
    <row r="120" spans="1:14" x14ac:dyDescent="0.3">
      <c r="A120" t="s">
        <v>136</v>
      </c>
      <c r="B120" t="s">
        <v>18</v>
      </c>
      <c r="C120" t="s">
        <v>14</v>
      </c>
      <c r="D120">
        <v>99</v>
      </c>
      <c r="E120">
        <v>42</v>
      </c>
      <c r="F120">
        <v>3</v>
      </c>
      <c r="G120">
        <v>115461</v>
      </c>
      <c r="H120">
        <v>102686</v>
      </c>
      <c r="I120">
        <v>21</v>
      </c>
      <c r="J120" s="1">
        <f>Table2[[#This Row],[Deals Closed]]/Table2[[#This Row],[Leads Generated]]</f>
        <v>3.0303030303030304E-2</v>
      </c>
      <c r="K120" s="1">
        <f>Table2[[#This Row],[Deals Closed]]/Table2[[#This Row],[Demo Calls]]</f>
        <v>7.1428571428571425E-2</v>
      </c>
      <c r="L120" s="2">
        <f>Table2[[#This Row],[Revenue]]/Table2[[#This Row],[Leads Generated]]</f>
        <v>1166.2727272727273</v>
      </c>
      <c r="M120" s="2">
        <f>Table2[[#This Row],[Marketing Spend]]/Table2[[#This Row],[Leads Generated]]</f>
        <v>1037.2323232323233</v>
      </c>
      <c r="N120" s="2">
        <f>Table2[[#This Row],[Marketing Spend]]/Table2[[#This Row],[Deals Closed]]</f>
        <v>34228.666666666664</v>
      </c>
    </row>
    <row r="121" spans="1:14" x14ac:dyDescent="0.3">
      <c r="A121" t="s">
        <v>137</v>
      </c>
      <c r="B121" t="s">
        <v>18</v>
      </c>
      <c r="C121" t="s">
        <v>31</v>
      </c>
      <c r="D121">
        <v>125</v>
      </c>
      <c r="E121">
        <v>89</v>
      </c>
      <c r="F121">
        <v>8</v>
      </c>
      <c r="G121">
        <v>313584</v>
      </c>
      <c r="H121">
        <v>142025</v>
      </c>
      <c r="I121">
        <v>70</v>
      </c>
      <c r="J121" s="1">
        <f>Table2[[#This Row],[Deals Closed]]/Table2[[#This Row],[Leads Generated]]</f>
        <v>6.4000000000000001E-2</v>
      </c>
      <c r="K121" s="1">
        <f>Table2[[#This Row],[Deals Closed]]/Table2[[#This Row],[Demo Calls]]</f>
        <v>8.98876404494382E-2</v>
      </c>
      <c r="L121" s="2">
        <f>Table2[[#This Row],[Revenue]]/Table2[[#This Row],[Leads Generated]]</f>
        <v>2508.672</v>
      </c>
      <c r="M121" s="2">
        <f>Table2[[#This Row],[Marketing Spend]]/Table2[[#This Row],[Leads Generated]]</f>
        <v>1136.2</v>
      </c>
      <c r="N121" s="2">
        <f>Table2[[#This Row],[Marketing Spend]]/Table2[[#This Row],[Deals Closed]]</f>
        <v>17753.125</v>
      </c>
    </row>
    <row r="122" spans="1:14" x14ac:dyDescent="0.3">
      <c r="A122" t="s">
        <v>138</v>
      </c>
      <c r="B122" t="s">
        <v>18</v>
      </c>
      <c r="C122" t="s">
        <v>11</v>
      </c>
      <c r="D122">
        <v>148</v>
      </c>
      <c r="E122">
        <v>65</v>
      </c>
      <c r="F122">
        <v>7</v>
      </c>
      <c r="G122">
        <v>371175</v>
      </c>
      <c r="H122">
        <v>31393</v>
      </c>
      <c r="I122">
        <v>37</v>
      </c>
      <c r="J122" s="1">
        <f>Table2[[#This Row],[Deals Closed]]/Table2[[#This Row],[Leads Generated]]</f>
        <v>4.72972972972973E-2</v>
      </c>
      <c r="K122" s="1">
        <f>Table2[[#This Row],[Deals Closed]]/Table2[[#This Row],[Demo Calls]]</f>
        <v>0.1076923076923077</v>
      </c>
      <c r="L122" s="2">
        <f>Table2[[#This Row],[Revenue]]/Table2[[#This Row],[Leads Generated]]</f>
        <v>2507.9391891891892</v>
      </c>
      <c r="M122" s="2">
        <f>Table2[[#This Row],[Marketing Spend]]/Table2[[#This Row],[Leads Generated]]</f>
        <v>212.11486486486487</v>
      </c>
      <c r="N122" s="2">
        <f>Table2[[#This Row],[Marketing Spend]]/Table2[[#This Row],[Deals Closed]]</f>
        <v>4484.7142857142853</v>
      </c>
    </row>
    <row r="123" spans="1:14" x14ac:dyDescent="0.3">
      <c r="A123" t="s">
        <v>139</v>
      </c>
      <c r="B123" t="s">
        <v>24</v>
      </c>
      <c r="C123" t="s">
        <v>16</v>
      </c>
      <c r="D123">
        <v>137</v>
      </c>
      <c r="E123">
        <v>70</v>
      </c>
      <c r="F123">
        <v>12</v>
      </c>
      <c r="G123">
        <v>548064</v>
      </c>
      <c r="H123">
        <v>69527</v>
      </c>
      <c r="I123">
        <v>45</v>
      </c>
      <c r="J123" s="1">
        <f>Table2[[#This Row],[Deals Closed]]/Table2[[#This Row],[Leads Generated]]</f>
        <v>8.7591240875912413E-2</v>
      </c>
      <c r="K123" s="1">
        <f>Table2[[#This Row],[Deals Closed]]/Table2[[#This Row],[Demo Calls]]</f>
        <v>0.17142857142857143</v>
      </c>
      <c r="L123" s="2">
        <f>Table2[[#This Row],[Revenue]]/Table2[[#This Row],[Leads Generated]]</f>
        <v>4000.4671532846714</v>
      </c>
      <c r="M123" s="2">
        <f>Table2[[#This Row],[Marketing Spend]]/Table2[[#This Row],[Leads Generated]]</f>
        <v>507.49635036496352</v>
      </c>
      <c r="N123" s="2">
        <f>Table2[[#This Row],[Marketing Spend]]/Table2[[#This Row],[Deals Closed]]</f>
        <v>5793.916666666667</v>
      </c>
    </row>
    <row r="124" spans="1:14" x14ac:dyDescent="0.3">
      <c r="A124" t="s">
        <v>140</v>
      </c>
      <c r="B124" t="s">
        <v>13</v>
      </c>
      <c r="C124" t="s">
        <v>31</v>
      </c>
      <c r="D124">
        <v>61</v>
      </c>
      <c r="E124">
        <v>56</v>
      </c>
      <c r="F124">
        <v>6</v>
      </c>
      <c r="G124">
        <v>320226</v>
      </c>
      <c r="H124">
        <v>149193</v>
      </c>
      <c r="I124">
        <v>23</v>
      </c>
      <c r="J124" s="1">
        <f>Table2[[#This Row],[Deals Closed]]/Table2[[#This Row],[Leads Generated]]</f>
        <v>9.8360655737704916E-2</v>
      </c>
      <c r="K124" s="1">
        <f>Table2[[#This Row],[Deals Closed]]/Table2[[#This Row],[Demo Calls]]</f>
        <v>0.10714285714285714</v>
      </c>
      <c r="L124" s="2">
        <f>Table2[[#This Row],[Revenue]]/Table2[[#This Row],[Leads Generated]]</f>
        <v>5249.6065573770493</v>
      </c>
      <c r="M124" s="2">
        <f>Table2[[#This Row],[Marketing Spend]]/Table2[[#This Row],[Leads Generated]]</f>
        <v>2445.7868852459014</v>
      </c>
      <c r="N124" s="2">
        <f>Table2[[#This Row],[Marketing Spend]]/Table2[[#This Row],[Deals Closed]]</f>
        <v>24865.5</v>
      </c>
    </row>
    <row r="125" spans="1:14" x14ac:dyDescent="0.3">
      <c r="A125" t="s">
        <v>141</v>
      </c>
      <c r="B125" t="s">
        <v>10</v>
      </c>
      <c r="C125" t="s">
        <v>31</v>
      </c>
      <c r="D125">
        <v>143</v>
      </c>
      <c r="E125">
        <v>73</v>
      </c>
      <c r="F125">
        <v>8</v>
      </c>
      <c r="G125">
        <v>370312</v>
      </c>
      <c r="H125">
        <v>104518</v>
      </c>
      <c r="I125">
        <v>44</v>
      </c>
      <c r="J125" s="1">
        <f>Table2[[#This Row],[Deals Closed]]/Table2[[#This Row],[Leads Generated]]</f>
        <v>5.5944055944055944E-2</v>
      </c>
      <c r="K125" s="1">
        <f>Table2[[#This Row],[Deals Closed]]/Table2[[#This Row],[Demo Calls]]</f>
        <v>0.1095890410958904</v>
      </c>
      <c r="L125" s="2">
        <f>Table2[[#This Row],[Revenue]]/Table2[[#This Row],[Leads Generated]]</f>
        <v>2589.5944055944055</v>
      </c>
      <c r="M125" s="2">
        <f>Table2[[#This Row],[Marketing Spend]]/Table2[[#This Row],[Leads Generated]]</f>
        <v>730.89510489510485</v>
      </c>
      <c r="N125" s="2">
        <f>Table2[[#This Row],[Marketing Spend]]/Table2[[#This Row],[Deals Closed]]</f>
        <v>13064.75</v>
      </c>
    </row>
    <row r="126" spans="1:14" x14ac:dyDescent="0.3">
      <c r="A126" t="s">
        <v>142</v>
      </c>
      <c r="B126" t="s">
        <v>24</v>
      </c>
      <c r="C126" t="s">
        <v>16</v>
      </c>
      <c r="D126">
        <v>178</v>
      </c>
      <c r="E126">
        <v>177</v>
      </c>
      <c r="F126">
        <v>27</v>
      </c>
      <c r="G126">
        <v>1111347</v>
      </c>
      <c r="H126">
        <v>123466</v>
      </c>
      <c r="I126">
        <v>21</v>
      </c>
      <c r="J126" s="1">
        <f>Table2[[#This Row],[Deals Closed]]/Table2[[#This Row],[Leads Generated]]</f>
        <v>0.15168539325842698</v>
      </c>
      <c r="K126" s="1">
        <f>Table2[[#This Row],[Deals Closed]]/Table2[[#This Row],[Demo Calls]]</f>
        <v>0.15254237288135594</v>
      </c>
      <c r="L126" s="2">
        <f>Table2[[#This Row],[Revenue]]/Table2[[#This Row],[Leads Generated]]</f>
        <v>6243.5224719101125</v>
      </c>
      <c r="M126" s="2">
        <f>Table2[[#This Row],[Marketing Spend]]/Table2[[#This Row],[Leads Generated]]</f>
        <v>693.62921348314603</v>
      </c>
      <c r="N126" s="2">
        <f>Table2[[#This Row],[Marketing Spend]]/Table2[[#This Row],[Deals Closed]]</f>
        <v>4572.8148148148148</v>
      </c>
    </row>
    <row r="127" spans="1:14" x14ac:dyDescent="0.3">
      <c r="A127" t="s">
        <v>143</v>
      </c>
      <c r="B127" t="s">
        <v>10</v>
      </c>
      <c r="C127" t="s">
        <v>11</v>
      </c>
      <c r="D127">
        <v>141</v>
      </c>
      <c r="E127">
        <v>103</v>
      </c>
      <c r="F127">
        <v>14</v>
      </c>
      <c r="G127">
        <v>558782</v>
      </c>
      <c r="H127">
        <v>107745</v>
      </c>
      <c r="I127">
        <v>30</v>
      </c>
      <c r="J127" s="1">
        <f>Table2[[#This Row],[Deals Closed]]/Table2[[#This Row],[Leads Generated]]</f>
        <v>9.9290780141843976E-2</v>
      </c>
      <c r="K127" s="1">
        <f>Table2[[#This Row],[Deals Closed]]/Table2[[#This Row],[Demo Calls]]</f>
        <v>0.13592233009708737</v>
      </c>
      <c r="L127" s="2">
        <f>Table2[[#This Row],[Revenue]]/Table2[[#This Row],[Leads Generated]]</f>
        <v>3962.9929078014184</v>
      </c>
      <c r="M127" s="2">
        <f>Table2[[#This Row],[Marketing Spend]]/Table2[[#This Row],[Leads Generated]]</f>
        <v>764.14893617021278</v>
      </c>
      <c r="N127" s="2">
        <f>Table2[[#This Row],[Marketing Spend]]/Table2[[#This Row],[Deals Closed]]</f>
        <v>7696.0714285714284</v>
      </c>
    </row>
    <row r="128" spans="1:14" x14ac:dyDescent="0.3">
      <c r="A128" t="s">
        <v>144</v>
      </c>
      <c r="B128" t="s">
        <v>24</v>
      </c>
      <c r="C128" t="s">
        <v>11</v>
      </c>
      <c r="D128">
        <v>184</v>
      </c>
      <c r="E128">
        <v>79</v>
      </c>
      <c r="F128">
        <v>14</v>
      </c>
      <c r="G128">
        <v>535850</v>
      </c>
      <c r="H128">
        <v>56744</v>
      </c>
      <c r="I128">
        <v>79</v>
      </c>
      <c r="J128" s="1">
        <f>Table2[[#This Row],[Deals Closed]]/Table2[[#This Row],[Leads Generated]]</f>
        <v>7.6086956521739135E-2</v>
      </c>
      <c r="K128" s="1">
        <f>Table2[[#This Row],[Deals Closed]]/Table2[[#This Row],[Demo Calls]]</f>
        <v>0.17721518987341772</v>
      </c>
      <c r="L128" s="2">
        <f>Table2[[#This Row],[Revenue]]/Table2[[#This Row],[Leads Generated]]</f>
        <v>2912.228260869565</v>
      </c>
      <c r="M128" s="2">
        <f>Table2[[#This Row],[Marketing Spend]]/Table2[[#This Row],[Leads Generated]]</f>
        <v>308.39130434782606</v>
      </c>
      <c r="N128" s="2">
        <f>Table2[[#This Row],[Marketing Spend]]/Table2[[#This Row],[Deals Closed]]</f>
        <v>4053.1428571428573</v>
      </c>
    </row>
    <row r="129" spans="1:14" x14ac:dyDescent="0.3">
      <c r="A129" t="s">
        <v>145</v>
      </c>
      <c r="B129" t="s">
        <v>24</v>
      </c>
      <c r="C129" t="s">
        <v>21</v>
      </c>
      <c r="D129">
        <v>161</v>
      </c>
      <c r="E129">
        <v>70</v>
      </c>
      <c r="F129">
        <v>8</v>
      </c>
      <c r="G129">
        <v>378400</v>
      </c>
      <c r="H129">
        <v>37955</v>
      </c>
      <c r="I129">
        <v>30</v>
      </c>
      <c r="J129" s="1">
        <f>Table2[[#This Row],[Deals Closed]]/Table2[[#This Row],[Leads Generated]]</f>
        <v>4.9689440993788817E-2</v>
      </c>
      <c r="K129" s="1">
        <f>Table2[[#This Row],[Deals Closed]]/Table2[[#This Row],[Demo Calls]]</f>
        <v>0.11428571428571428</v>
      </c>
      <c r="L129" s="2">
        <f>Table2[[#This Row],[Revenue]]/Table2[[#This Row],[Leads Generated]]</f>
        <v>2350.3105590062114</v>
      </c>
      <c r="M129" s="2">
        <f>Table2[[#This Row],[Marketing Spend]]/Table2[[#This Row],[Leads Generated]]</f>
        <v>235.74534161490683</v>
      </c>
      <c r="N129" s="2">
        <f>Table2[[#This Row],[Marketing Spend]]/Table2[[#This Row],[Deals Closed]]</f>
        <v>4744.375</v>
      </c>
    </row>
    <row r="130" spans="1:14" x14ac:dyDescent="0.3">
      <c r="A130" t="s">
        <v>146</v>
      </c>
      <c r="B130" t="s">
        <v>18</v>
      </c>
      <c r="C130" t="s">
        <v>14</v>
      </c>
      <c r="D130">
        <v>161</v>
      </c>
      <c r="E130">
        <v>128</v>
      </c>
      <c r="F130">
        <v>25</v>
      </c>
      <c r="G130">
        <v>1238125</v>
      </c>
      <c r="H130">
        <v>131143</v>
      </c>
      <c r="I130">
        <v>37</v>
      </c>
      <c r="J130" s="1">
        <f>Table2[[#This Row],[Deals Closed]]/Table2[[#This Row],[Leads Generated]]</f>
        <v>0.15527950310559005</v>
      </c>
      <c r="K130" s="1">
        <f>Table2[[#This Row],[Deals Closed]]/Table2[[#This Row],[Demo Calls]]</f>
        <v>0.1953125</v>
      </c>
      <c r="L130" s="2">
        <f>Table2[[#This Row],[Revenue]]/Table2[[#This Row],[Leads Generated]]</f>
        <v>7690.217391304348</v>
      </c>
      <c r="M130" s="2">
        <f>Table2[[#This Row],[Marketing Spend]]/Table2[[#This Row],[Leads Generated]]</f>
        <v>814.55279503105589</v>
      </c>
      <c r="N130" s="2">
        <f>Table2[[#This Row],[Marketing Spend]]/Table2[[#This Row],[Deals Closed]]</f>
        <v>5245.72</v>
      </c>
    </row>
    <row r="131" spans="1:14" x14ac:dyDescent="0.3">
      <c r="A131" t="s">
        <v>147</v>
      </c>
      <c r="B131" t="s">
        <v>10</v>
      </c>
      <c r="C131" t="s">
        <v>31</v>
      </c>
      <c r="D131">
        <v>149</v>
      </c>
      <c r="E131">
        <v>61</v>
      </c>
      <c r="F131">
        <v>11</v>
      </c>
      <c r="G131">
        <v>553586</v>
      </c>
      <c r="H131">
        <v>127760</v>
      </c>
      <c r="I131">
        <v>76</v>
      </c>
      <c r="J131" s="1">
        <f>Table2[[#This Row],[Deals Closed]]/Table2[[#This Row],[Leads Generated]]</f>
        <v>7.3825503355704702E-2</v>
      </c>
      <c r="K131" s="1">
        <f>Table2[[#This Row],[Deals Closed]]/Table2[[#This Row],[Demo Calls]]</f>
        <v>0.18032786885245902</v>
      </c>
      <c r="L131" s="2">
        <f>Table2[[#This Row],[Revenue]]/Table2[[#This Row],[Leads Generated]]</f>
        <v>3715.3422818791946</v>
      </c>
      <c r="M131" s="2">
        <f>Table2[[#This Row],[Marketing Spend]]/Table2[[#This Row],[Leads Generated]]</f>
        <v>857.44966442953023</v>
      </c>
      <c r="N131" s="2">
        <f>Table2[[#This Row],[Marketing Spend]]/Table2[[#This Row],[Deals Closed]]</f>
        <v>11614.545454545454</v>
      </c>
    </row>
    <row r="132" spans="1:14" x14ac:dyDescent="0.3">
      <c r="A132" t="s">
        <v>148</v>
      </c>
      <c r="B132" t="s">
        <v>13</v>
      </c>
      <c r="C132" t="s">
        <v>14</v>
      </c>
      <c r="D132">
        <v>199</v>
      </c>
      <c r="E132">
        <v>71</v>
      </c>
      <c r="F132">
        <v>6</v>
      </c>
      <c r="G132">
        <v>228090</v>
      </c>
      <c r="H132">
        <v>85530</v>
      </c>
      <c r="I132">
        <v>73</v>
      </c>
      <c r="J132" s="1">
        <f>Table2[[#This Row],[Deals Closed]]/Table2[[#This Row],[Leads Generated]]</f>
        <v>3.015075376884422E-2</v>
      </c>
      <c r="K132" s="1">
        <f>Table2[[#This Row],[Deals Closed]]/Table2[[#This Row],[Demo Calls]]</f>
        <v>8.4507042253521125E-2</v>
      </c>
      <c r="L132" s="2">
        <f>Table2[[#This Row],[Revenue]]/Table2[[#This Row],[Leads Generated]]</f>
        <v>1146.180904522613</v>
      </c>
      <c r="M132" s="2">
        <f>Table2[[#This Row],[Marketing Spend]]/Table2[[#This Row],[Leads Generated]]</f>
        <v>429.79899497487435</v>
      </c>
      <c r="N132" s="2">
        <f>Table2[[#This Row],[Marketing Spend]]/Table2[[#This Row],[Deals Closed]]</f>
        <v>14255</v>
      </c>
    </row>
    <row r="133" spans="1:14" x14ac:dyDescent="0.3">
      <c r="A133" t="s">
        <v>149</v>
      </c>
      <c r="B133" t="s">
        <v>24</v>
      </c>
      <c r="C133" t="s">
        <v>31</v>
      </c>
      <c r="D133">
        <v>136</v>
      </c>
      <c r="E133">
        <v>53</v>
      </c>
      <c r="F133">
        <v>4</v>
      </c>
      <c r="G133">
        <v>170280</v>
      </c>
      <c r="H133">
        <v>26146</v>
      </c>
      <c r="I133">
        <v>60</v>
      </c>
      <c r="J133" s="1">
        <f>Table2[[#This Row],[Deals Closed]]/Table2[[#This Row],[Leads Generated]]</f>
        <v>2.9411764705882353E-2</v>
      </c>
      <c r="K133" s="1">
        <f>Table2[[#This Row],[Deals Closed]]/Table2[[#This Row],[Demo Calls]]</f>
        <v>7.5471698113207544E-2</v>
      </c>
      <c r="L133" s="2">
        <f>Table2[[#This Row],[Revenue]]/Table2[[#This Row],[Leads Generated]]</f>
        <v>1252.0588235294117</v>
      </c>
      <c r="M133" s="2">
        <f>Table2[[#This Row],[Marketing Spend]]/Table2[[#This Row],[Leads Generated]]</f>
        <v>192.25</v>
      </c>
      <c r="N133" s="2">
        <f>Table2[[#This Row],[Marketing Spend]]/Table2[[#This Row],[Deals Closed]]</f>
        <v>6536.5</v>
      </c>
    </row>
    <row r="134" spans="1:14" x14ac:dyDescent="0.3">
      <c r="A134" t="s">
        <v>150</v>
      </c>
      <c r="B134" t="s">
        <v>18</v>
      </c>
      <c r="C134" t="s">
        <v>21</v>
      </c>
      <c r="D134">
        <v>168</v>
      </c>
      <c r="E134">
        <v>62</v>
      </c>
      <c r="F134">
        <v>11</v>
      </c>
      <c r="G134">
        <v>589963</v>
      </c>
      <c r="H134">
        <v>131363</v>
      </c>
      <c r="I134">
        <v>41</v>
      </c>
      <c r="J134" s="1">
        <f>Table2[[#This Row],[Deals Closed]]/Table2[[#This Row],[Leads Generated]]</f>
        <v>6.5476190476190479E-2</v>
      </c>
      <c r="K134" s="1">
        <f>Table2[[#This Row],[Deals Closed]]/Table2[[#This Row],[Demo Calls]]</f>
        <v>0.17741935483870969</v>
      </c>
      <c r="L134" s="2">
        <f>Table2[[#This Row],[Revenue]]/Table2[[#This Row],[Leads Generated]]</f>
        <v>3511.6845238095239</v>
      </c>
      <c r="M134" s="2">
        <f>Table2[[#This Row],[Marketing Spend]]/Table2[[#This Row],[Leads Generated]]</f>
        <v>781.92261904761904</v>
      </c>
      <c r="N134" s="2">
        <f>Table2[[#This Row],[Marketing Spend]]/Table2[[#This Row],[Deals Closed]]</f>
        <v>11942.09090909091</v>
      </c>
    </row>
    <row r="135" spans="1:14" x14ac:dyDescent="0.3">
      <c r="A135" t="s">
        <v>151</v>
      </c>
      <c r="B135" t="s">
        <v>18</v>
      </c>
      <c r="C135" t="s">
        <v>21</v>
      </c>
      <c r="D135">
        <v>177</v>
      </c>
      <c r="E135">
        <v>125</v>
      </c>
      <c r="F135">
        <v>20</v>
      </c>
      <c r="G135">
        <v>773360</v>
      </c>
      <c r="H135">
        <v>48053</v>
      </c>
      <c r="I135">
        <v>58</v>
      </c>
      <c r="J135" s="1">
        <f>Table2[[#This Row],[Deals Closed]]/Table2[[#This Row],[Leads Generated]]</f>
        <v>0.11299435028248588</v>
      </c>
      <c r="K135" s="1">
        <f>Table2[[#This Row],[Deals Closed]]/Table2[[#This Row],[Demo Calls]]</f>
        <v>0.16</v>
      </c>
      <c r="L135" s="2">
        <f>Table2[[#This Row],[Revenue]]/Table2[[#This Row],[Leads Generated]]</f>
        <v>4369.2655367231637</v>
      </c>
      <c r="M135" s="2">
        <f>Table2[[#This Row],[Marketing Spend]]/Table2[[#This Row],[Leads Generated]]</f>
        <v>271.4858757062147</v>
      </c>
      <c r="N135" s="2">
        <f>Table2[[#This Row],[Marketing Spend]]/Table2[[#This Row],[Deals Closed]]</f>
        <v>2402.65</v>
      </c>
    </row>
    <row r="136" spans="1:14" x14ac:dyDescent="0.3">
      <c r="A136" t="s">
        <v>152</v>
      </c>
      <c r="B136" t="s">
        <v>13</v>
      </c>
      <c r="C136" t="s">
        <v>14</v>
      </c>
      <c r="D136">
        <v>132</v>
      </c>
      <c r="E136">
        <v>58</v>
      </c>
      <c r="F136">
        <v>6</v>
      </c>
      <c r="G136">
        <v>247908</v>
      </c>
      <c r="H136">
        <v>130344</v>
      </c>
      <c r="I136">
        <v>76</v>
      </c>
      <c r="J136" s="1">
        <f>Table2[[#This Row],[Deals Closed]]/Table2[[#This Row],[Leads Generated]]</f>
        <v>4.5454545454545456E-2</v>
      </c>
      <c r="K136" s="1">
        <f>Table2[[#This Row],[Deals Closed]]/Table2[[#This Row],[Demo Calls]]</f>
        <v>0.10344827586206896</v>
      </c>
      <c r="L136" s="2">
        <f>Table2[[#This Row],[Revenue]]/Table2[[#This Row],[Leads Generated]]</f>
        <v>1878.090909090909</v>
      </c>
      <c r="M136" s="2">
        <f>Table2[[#This Row],[Marketing Spend]]/Table2[[#This Row],[Leads Generated]]</f>
        <v>987.4545454545455</v>
      </c>
      <c r="N136" s="2">
        <f>Table2[[#This Row],[Marketing Spend]]/Table2[[#This Row],[Deals Closed]]</f>
        <v>21724</v>
      </c>
    </row>
    <row r="137" spans="1:14" x14ac:dyDescent="0.3">
      <c r="A137" t="s">
        <v>153</v>
      </c>
      <c r="B137" t="s">
        <v>24</v>
      </c>
      <c r="C137" t="s">
        <v>11</v>
      </c>
      <c r="D137">
        <v>105</v>
      </c>
      <c r="E137">
        <v>50</v>
      </c>
      <c r="F137">
        <v>7</v>
      </c>
      <c r="G137">
        <v>295890</v>
      </c>
      <c r="H137">
        <v>146739</v>
      </c>
      <c r="I137">
        <v>61</v>
      </c>
      <c r="J137" s="1">
        <f>Table2[[#This Row],[Deals Closed]]/Table2[[#This Row],[Leads Generated]]</f>
        <v>6.6666666666666666E-2</v>
      </c>
      <c r="K137" s="1">
        <f>Table2[[#This Row],[Deals Closed]]/Table2[[#This Row],[Demo Calls]]</f>
        <v>0.14000000000000001</v>
      </c>
      <c r="L137" s="2">
        <f>Table2[[#This Row],[Revenue]]/Table2[[#This Row],[Leads Generated]]</f>
        <v>2818</v>
      </c>
      <c r="M137" s="2">
        <f>Table2[[#This Row],[Marketing Spend]]/Table2[[#This Row],[Leads Generated]]</f>
        <v>1397.5142857142857</v>
      </c>
      <c r="N137" s="2">
        <f>Table2[[#This Row],[Marketing Spend]]/Table2[[#This Row],[Deals Closed]]</f>
        <v>20962.714285714286</v>
      </c>
    </row>
    <row r="138" spans="1:14" x14ac:dyDescent="0.3">
      <c r="A138" t="s">
        <v>154</v>
      </c>
      <c r="B138" t="s">
        <v>13</v>
      </c>
      <c r="C138" t="s">
        <v>31</v>
      </c>
      <c r="D138">
        <v>154</v>
      </c>
      <c r="E138">
        <v>113</v>
      </c>
      <c r="F138">
        <v>11</v>
      </c>
      <c r="G138">
        <v>543807</v>
      </c>
      <c r="H138">
        <v>116548</v>
      </c>
      <c r="I138">
        <v>69</v>
      </c>
      <c r="J138" s="1">
        <f>Table2[[#This Row],[Deals Closed]]/Table2[[#This Row],[Leads Generated]]</f>
        <v>7.1428571428571425E-2</v>
      </c>
      <c r="K138" s="1">
        <f>Table2[[#This Row],[Deals Closed]]/Table2[[#This Row],[Demo Calls]]</f>
        <v>9.7345132743362831E-2</v>
      </c>
      <c r="L138" s="2">
        <f>Table2[[#This Row],[Revenue]]/Table2[[#This Row],[Leads Generated]]</f>
        <v>3531.2142857142858</v>
      </c>
      <c r="M138" s="2">
        <f>Table2[[#This Row],[Marketing Spend]]/Table2[[#This Row],[Leads Generated]]</f>
        <v>756.80519480519479</v>
      </c>
      <c r="N138" s="2">
        <f>Table2[[#This Row],[Marketing Spend]]/Table2[[#This Row],[Deals Closed]]</f>
        <v>10595.272727272728</v>
      </c>
    </row>
    <row r="139" spans="1:14" x14ac:dyDescent="0.3">
      <c r="A139" t="s">
        <v>155</v>
      </c>
      <c r="B139" t="s">
        <v>24</v>
      </c>
      <c r="C139" t="s">
        <v>14</v>
      </c>
      <c r="D139">
        <v>116</v>
      </c>
      <c r="E139">
        <v>49</v>
      </c>
      <c r="F139">
        <v>4</v>
      </c>
      <c r="G139">
        <v>141356</v>
      </c>
      <c r="H139">
        <v>86800</v>
      </c>
      <c r="I139">
        <v>69</v>
      </c>
      <c r="J139" s="1">
        <f>Table2[[#This Row],[Deals Closed]]/Table2[[#This Row],[Leads Generated]]</f>
        <v>3.4482758620689655E-2</v>
      </c>
      <c r="K139" s="1">
        <f>Table2[[#This Row],[Deals Closed]]/Table2[[#This Row],[Demo Calls]]</f>
        <v>8.1632653061224483E-2</v>
      </c>
      <c r="L139" s="2">
        <f>Table2[[#This Row],[Revenue]]/Table2[[#This Row],[Leads Generated]]</f>
        <v>1218.5862068965516</v>
      </c>
      <c r="M139" s="2">
        <f>Table2[[#This Row],[Marketing Spend]]/Table2[[#This Row],[Leads Generated]]</f>
        <v>748.27586206896547</v>
      </c>
      <c r="N139" s="2">
        <f>Table2[[#This Row],[Marketing Spend]]/Table2[[#This Row],[Deals Closed]]</f>
        <v>21700</v>
      </c>
    </row>
    <row r="140" spans="1:14" x14ac:dyDescent="0.3">
      <c r="A140" t="s">
        <v>156</v>
      </c>
      <c r="B140" t="s">
        <v>18</v>
      </c>
      <c r="C140" t="s">
        <v>14</v>
      </c>
      <c r="D140">
        <v>196</v>
      </c>
      <c r="E140">
        <v>146</v>
      </c>
      <c r="F140">
        <v>28</v>
      </c>
      <c r="G140">
        <v>1165808</v>
      </c>
      <c r="H140">
        <v>112921</v>
      </c>
      <c r="I140">
        <v>20</v>
      </c>
      <c r="J140" s="1">
        <f>Table2[[#This Row],[Deals Closed]]/Table2[[#This Row],[Leads Generated]]</f>
        <v>0.14285714285714285</v>
      </c>
      <c r="K140" s="1">
        <f>Table2[[#This Row],[Deals Closed]]/Table2[[#This Row],[Demo Calls]]</f>
        <v>0.19178082191780821</v>
      </c>
      <c r="L140" s="2">
        <f>Table2[[#This Row],[Revenue]]/Table2[[#This Row],[Leads Generated]]</f>
        <v>5948</v>
      </c>
      <c r="M140" s="2">
        <f>Table2[[#This Row],[Marketing Spend]]/Table2[[#This Row],[Leads Generated]]</f>
        <v>576.12755102040819</v>
      </c>
      <c r="N140" s="2">
        <f>Table2[[#This Row],[Marketing Spend]]/Table2[[#This Row],[Deals Closed]]</f>
        <v>4032.8928571428573</v>
      </c>
    </row>
    <row r="141" spans="1:14" x14ac:dyDescent="0.3">
      <c r="A141" t="s">
        <v>157</v>
      </c>
      <c r="B141" t="s">
        <v>13</v>
      </c>
      <c r="C141" t="s">
        <v>31</v>
      </c>
      <c r="D141">
        <v>115</v>
      </c>
      <c r="E141">
        <v>112</v>
      </c>
      <c r="F141">
        <v>20</v>
      </c>
      <c r="G141">
        <v>970640</v>
      </c>
      <c r="H141">
        <v>47994</v>
      </c>
      <c r="I141">
        <v>21</v>
      </c>
      <c r="J141" s="1">
        <f>Table2[[#This Row],[Deals Closed]]/Table2[[#This Row],[Leads Generated]]</f>
        <v>0.17391304347826086</v>
      </c>
      <c r="K141" s="1">
        <f>Table2[[#This Row],[Deals Closed]]/Table2[[#This Row],[Demo Calls]]</f>
        <v>0.17857142857142858</v>
      </c>
      <c r="L141" s="2">
        <f>Table2[[#This Row],[Revenue]]/Table2[[#This Row],[Leads Generated]]</f>
        <v>8440.347826086956</v>
      </c>
      <c r="M141" s="2">
        <f>Table2[[#This Row],[Marketing Spend]]/Table2[[#This Row],[Leads Generated]]</f>
        <v>417.33913043478259</v>
      </c>
      <c r="N141" s="2">
        <f>Table2[[#This Row],[Marketing Spend]]/Table2[[#This Row],[Deals Closed]]</f>
        <v>2399.6999999999998</v>
      </c>
    </row>
    <row r="142" spans="1:14" x14ac:dyDescent="0.3">
      <c r="A142" t="s">
        <v>158</v>
      </c>
      <c r="B142" t="s">
        <v>13</v>
      </c>
      <c r="C142" t="s">
        <v>16</v>
      </c>
      <c r="D142">
        <v>71</v>
      </c>
      <c r="E142">
        <v>71</v>
      </c>
      <c r="F142">
        <v>14</v>
      </c>
      <c r="G142">
        <v>726852</v>
      </c>
      <c r="H142">
        <v>101219</v>
      </c>
      <c r="I142">
        <v>31</v>
      </c>
      <c r="J142" s="1">
        <f>Table2[[#This Row],[Deals Closed]]/Table2[[#This Row],[Leads Generated]]</f>
        <v>0.19718309859154928</v>
      </c>
      <c r="K142" s="1">
        <f>Table2[[#This Row],[Deals Closed]]/Table2[[#This Row],[Demo Calls]]</f>
        <v>0.19718309859154928</v>
      </c>
      <c r="L142" s="2">
        <f>Table2[[#This Row],[Revenue]]/Table2[[#This Row],[Leads Generated]]</f>
        <v>10237.352112676057</v>
      </c>
      <c r="M142" s="2">
        <f>Table2[[#This Row],[Marketing Spend]]/Table2[[#This Row],[Leads Generated]]</f>
        <v>1425.6197183098591</v>
      </c>
      <c r="N142" s="2">
        <f>Table2[[#This Row],[Marketing Spend]]/Table2[[#This Row],[Deals Closed]]</f>
        <v>7229.9285714285716</v>
      </c>
    </row>
    <row r="143" spans="1:14" x14ac:dyDescent="0.3">
      <c r="A143" t="s">
        <v>159</v>
      </c>
      <c r="B143" t="s">
        <v>18</v>
      </c>
      <c r="C143" t="s">
        <v>31</v>
      </c>
      <c r="D143">
        <v>160</v>
      </c>
      <c r="E143">
        <v>95</v>
      </c>
      <c r="F143">
        <v>7</v>
      </c>
      <c r="G143">
        <v>294231</v>
      </c>
      <c r="H143">
        <v>47462</v>
      </c>
      <c r="I143">
        <v>35</v>
      </c>
      <c r="J143" s="1">
        <f>Table2[[#This Row],[Deals Closed]]/Table2[[#This Row],[Leads Generated]]</f>
        <v>4.3749999999999997E-2</v>
      </c>
      <c r="K143" s="1">
        <f>Table2[[#This Row],[Deals Closed]]/Table2[[#This Row],[Demo Calls]]</f>
        <v>7.3684210526315783E-2</v>
      </c>
      <c r="L143" s="2">
        <f>Table2[[#This Row],[Revenue]]/Table2[[#This Row],[Leads Generated]]</f>
        <v>1838.9437499999999</v>
      </c>
      <c r="M143" s="2">
        <f>Table2[[#This Row],[Marketing Spend]]/Table2[[#This Row],[Leads Generated]]</f>
        <v>296.63749999999999</v>
      </c>
      <c r="N143" s="2">
        <f>Table2[[#This Row],[Marketing Spend]]/Table2[[#This Row],[Deals Closed]]</f>
        <v>6780.2857142857147</v>
      </c>
    </row>
    <row r="144" spans="1:14" x14ac:dyDescent="0.3">
      <c r="A144" t="s">
        <v>160</v>
      </c>
      <c r="B144" t="s">
        <v>10</v>
      </c>
      <c r="C144" t="s">
        <v>14</v>
      </c>
      <c r="D144">
        <v>70</v>
      </c>
      <c r="E144">
        <v>38</v>
      </c>
      <c r="F144">
        <v>6</v>
      </c>
      <c r="G144">
        <v>232950</v>
      </c>
      <c r="H144">
        <v>85514</v>
      </c>
      <c r="I144">
        <v>77</v>
      </c>
      <c r="J144" s="1">
        <f>Table2[[#This Row],[Deals Closed]]/Table2[[#This Row],[Leads Generated]]</f>
        <v>8.5714285714285715E-2</v>
      </c>
      <c r="K144" s="1">
        <f>Table2[[#This Row],[Deals Closed]]/Table2[[#This Row],[Demo Calls]]</f>
        <v>0.15789473684210525</v>
      </c>
      <c r="L144" s="2">
        <f>Table2[[#This Row],[Revenue]]/Table2[[#This Row],[Leads Generated]]</f>
        <v>3327.8571428571427</v>
      </c>
      <c r="M144" s="2">
        <f>Table2[[#This Row],[Marketing Spend]]/Table2[[#This Row],[Leads Generated]]</f>
        <v>1221.6285714285714</v>
      </c>
      <c r="N144" s="2">
        <f>Table2[[#This Row],[Marketing Spend]]/Table2[[#This Row],[Deals Closed]]</f>
        <v>14252.333333333334</v>
      </c>
    </row>
    <row r="145" spans="1:14" x14ac:dyDescent="0.3">
      <c r="A145" t="s">
        <v>161</v>
      </c>
      <c r="B145" t="s">
        <v>10</v>
      </c>
      <c r="C145" t="s">
        <v>21</v>
      </c>
      <c r="D145">
        <v>198</v>
      </c>
      <c r="E145">
        <v>85</v>
      </c>
      <c r="F145">
        <v>10</v>
      </c>
      <c r="G145">
        <v>372640</v>
      </c>
      <c r="H145">
        <v>13477</v>
      </c>
      <c r="I145">
        <v>76</v>
      </c>
      <c r="J145" s="1">
        <f>Table2[[#This Row],[Deals Closed]]/Table2[[#This Row],[Leads Generated]]</f>
        <v>5.0505050505050504E-2</v>
      </c>
      <c r="K145" s="1">
        <f>Table2[[#This Row],[Deals Closed]]/Table2[[#This Row],[Demo Calls]]</f>
        <v>0.11764705882352941</v>
      </c>
      <c r="L145" s="2">
        <f>Table2[[#This Row],[Revenue]]/Table2[[#This Row],[Leads Generated]]</f>
        <v>1882.0202020202021</v>
      </c>
      <c r="M145" s="2">
        <f>Table2[[#This Row],[Marketing Spend]]/Table2[[#This Row],[Leads Generated]]</f>
        <v>68.065656565656568</v>
      </c>
      <c r="N145" s="2">
        <f>Table2[[#This Row],[Marketing Spend]]/Table2[[#This Row],[Deals Closed]]</f>
        <v>1347.7</v>
      </c>
    </row>
    <row r="146" spans="1:14" x14ac:dyDescent="0.3">
      <c r="A146" t="s">
        <v>162</v>
      </c>
      <c r="B146" t="s">
        <v>13</v>
      </c>
      <c r="C146" t="s">
        <v>16</v>
      </c>
      <c r="D146">
        <v>134</v>
      </c>
      <c r="E146">
        <v>89</v>
      </c>
      <c r="F146">
        <v>12</v>
      </c>
      <c r="G146">
        <v>553596</v>
      </c>
      <c r="H146">
        <v>135903</v>
      </c>
      <c r="I146">
        <v>53</v>
      </c>
      <c r="J146" s="1">
        <f>Table2[[#This Row],[Deals Closed]]/Table2[[#This Row],[Leads Generated]]</f>
        <v>8.9552238805970144E-2</v>
      </c>
      <c r="K146" s="1">
        <f>Table2[[#This Row],[Deals Closed]]/Table2[[#This Row],[Demo Calls]]</f>
        <v>0.1348314606741573</v>
      </c>
      <c r="L146" s="2">
        <f>Table2[[#This Row],[Revenue]]/Table2[[#This Row],[Leads Generated]]</f>
        <v>4131.313432835821</v>
      </c>
      <c r="M146" s="2">
        <f>Table2[[#This Row],[Marketing Spend]]/Table2[[#This Row],[Leads Generated]]</f>
        <v>1014.2014925373135</v>
      </c>
      <c r="N146" s="2">
        <f>Table2[[#This Row],[Marketing Spend]]/Table2[[#This Row],[Deals Closed]]</f>
        <v>11325.25</v>
      </c>
    </row>
    <row r="147" spans="1:14" x14ac:dyDescent="0.3">
      <c r="A147" t="s">
        <v>163</v>
      </c>
      <c r="B147" t="s">
        <v>24</v>
      </c>
      <c r="C147" t="s">
        <v>16</v>
      </c>
      <c r="D147">
        <v>72</v>
      </c>
      <c r="E147">
        <v>55</v>
      </c>
      <c r="F147">
        <v>5</v>
      </c>
      <c r="G147">
        <v>262895</v>
      </c>
      <c r="H147">
        <v>64453</v>
      </c>
      <c r="I147">
        <v>72</v>
      </c>
      <c r="J147" s="1">
        <f>Table2[[#This Row],[Deals Closed]]/Table2[[#This Row],[Leads Generated]]</f>
        <v>6.9444444444444448E-2</v>
      </c>
      <c r="K147" s="1">
        <f>Table2[[#This Row],[Deals Closed]]/Table2[[#This Row],[Demo Calls]]</f>
        <v>9.0909090909090912E-2</v>
      </c>
      <c r="L147" s="2">
        <f>Table2[[#This Row],[Revenue]]/Table2[[#This Row],[Leads Generated]]</f>
        <v>3651.3194444444443</v>
      </c>
      <c r="M147" s="2">
        <f>Table2[[#This Row],[Marketing Spend]]/Table2[[#This Row],[Leads Generated]]</f>
        <v>895.18055555555554</v>
      </c>
      <c r="N147" s="2">
        <f>Table2[[#This Row],[Marketing Spend]]/Table2[[#This Row],[Deals Closed]]</f>
        <v>12890.6</v>
      </c>
    </row>
    <row r="148" spans="1:14" x14ac:dyDescent="0.3">
      <c r="A148" t="s">
        <v>164</v>
      </c>
      <c r="B148" t="s">
        <v>24</v>
      </c>
      <c r="C148" t="s">
        <v>31</v>
      </c>
      <c r="D148">
        <v>104</v>
      </c>
      <c r="E148">
        <v>82</v>
      </c>
      <c r="F148">
        <v>18</v>
      </c>
      <c r="G148">
        <v>745920</v>
      </c>
      <c r="H148">
        <v>76773</v>
      </c>
      <c r="I148">
        <v>60</v>
      </c>
      <c r="J148" s="1">
        <f>Table2[[#This Row],[Deals Closed]]/Table2[[#This Row],[Leads Generated]]</f>
        <v>0.17307692307692307</v>
      </c>
      <c r="K148" s="1">
        <f>Table2[[#This Row],[Deals Closed]]/Table2[[#This Row],[Demo Calls]]</f>
        <v>0.21951219512195122</v>
      </c>
      <c r="L148" s="2">
        <f>Table2[[#This Row],[Revenue]]/Table2[[#This Row],[Leads Generated]]</f>
        <v>7172.3076923076924</v>
      </c>
      <c r="M148" s="2">
        <f>Table2[[#This Row],[Marketing Spend]]/Table2[[#This Row],[Leads Generated]]</f>
        <v>738.20192307692309</v>
      </c>
      <c r="N148" s="2">
        <f>Table2[[#This Row],[Marketing Spend]]/Table2[[#This Row],[Deals Closed]]</f>
        <v>4265.166666666667</v>
      </c>
    </row>
    <row r="149" spans="1:14" x14ac:dyDescent="0.3">
      <c r="A149" t="s">
        <v>165</v>
      </c>
      <c r="B149" t="s">
        <v>18</v>
      </c>
      <c r="C149" t="s">
        <v>31</v>
      </c>
      <c r="D149">
        <v>67</v>
      </c>
      <c r="E149">
        <v>58</v>
      </c>
      <c r="F149">
        <v>5</v>
      </c>
      <c r="G149">
        <v>249290</v>
      </c>
      <c r="H149">
        <v>48003</v>
      </c>
      <c r="I149">
        <v>37</v>
      </c>
      <c r="J149" s="1">
        <f>Table2[[#This Row],[Deals Closed]]/Table2[[#This Row],[Leads Generated]]</f>
        <v>7.4626865671641784E-2</v>
      </c>
      <c r="K149" s="1">
        <f>Table2[[#This Row],[Deals Closed]]/Table2[[#This Row],[Demo Calls]]</f>
        <v>8.6206896551724144E-2</v>
      </c>
      <c r="L149" s="2">
        <f>Table2[[#This Row],[Revenue]]/Table2[[#This Row],[Leads Generated]]</f>
        <v>3720.7462686567164</v>
      </c>
      <c r="M149" s="2">
        <f>Table2[[#This Row],[Marketing Spend]]/Table2[[#This Row],[Leads Generated]]</f>
        <v>716.46268656716416</v>
      </c>
      <c r="N149" s="2">
        <f>Table2[[#This Row],[Marketing Spend]]/Table2[[#This Row],[Deals Closed]]</f>
        <v>9600.6</v>
      </c>
    </row>
    <row r="150" spans="1:14" x14ac:dyDescent="0.3">
      <c r="A150" t="s">
        <v>166</v>
      </c>
      <c r="B150" t="s">
        <v>10</v>
      </c>
      <c r="C150" t="s">
        <v>14</v>
      </c>
      <c r="D150">
        <v>80</v>
      </c>
      <c r="E150">
        <v>40</v>
      </c>
      <c r="F150">
        <v>6</v>
      </c>
      <c r="G150">
        <v>286284</v>
      </c>
      <c r="H150">
        <v>148148</v>
      </c>
      <c r="I150">
        <v>47</v>
      </c>
      <c r="J150" s="1">
        <f>Table2[[#This Row],[Deals Closed]]/Table2[[#This Row],[Leads Generated]]</f>
        <v>7.4999999999999997E-2</v>
      </c>
      <c r="K150" s="1">
        <f>Table2[[#This Row],[Deals Closed]]/Table2[[#This Row],[Demo Calls]]</f>
        <v>0.15</v>
      </c>
      <c r="L150" s="2">
        <f>Table2[[#This Row],[Revenue]]/Table2[[#This Row],[Leads Generated]]</f>
        <v>3578.55</v>
      </c>
      <c r="M150" s="2">
        <f>Table2[[#This Row],[Marketing Spend]]/Table2[[#This Row],[Leads Generated]]</f>
        <v>1851.85</v>
      </c>
      <c r="N150" s="2">
        <f>Table2[[#This Row],[Marketing Spend]]/Table2[[#This Row],[Deals Closed]]</f>
        <v>24691.333333333332</v>
      </c>
    </row>
    <row r="151" spans="1:14" x14ac:dyDescent="0.3">
      <c r="A151" t="s">
        <v>167</v>
      </c>
      <c r="B151" t="s">
        <v>13</v>
      </c>
      <c r="C151" t="s">
        <v>11</v>
      </c>
      <c r="D151">
        <v>111</v>
      </c>
      <c r="E151">
        <v>94</v>
      </c>
      <c r="F151">
        <v>12</v>
      </c>
      <c r="G151">
        <v>430644</v>
      </c>
      <c r="H151">
        <v>92130</v>
      </c>
      <c r="I151">
        <v>21</v>
      </c>
      <c r="J151" s="1">
        <f>Table2[[#This Row],[Deals Closed]]/Table2[[#This Row],[Leads Generated]]</f>
        <v>0.10810810810810811</v>
      </c>
      <c r="K151" s="1">
        <f>Table2[[#This Row],[Deals Closed]]/Table2[[#This Row],[Demo Calls]]</f>
        <v>0.1276595744680851</v>
      </c>
      <c r="L151" s="2">
        <f>Table2[[#This Row],[Revenue]]/Table2[[#This Row],[Leads Generated]]</f>
        <v>3879.6756756756758</v>
      </c>
      <c r="M151" s="2">
        <f>Table2[[#This Row],[Marketing Spend]]/Table2[[#This Row],[Leads Generated]]</f>
        <v>830</v>
      </c>
      <c r="N151" s="2">
        <f>Table2[[#This Row],[Marketing Spend]]/Table2[[#This Row],[Deals Closed]]</f>
        <v>7677.5</v>
      </c>
    </row>
    <row r="152" spans="1:14" x14ac:dyDescent="0.3">
      <c r="A152" t="s">
        <v>168</v>
      </c>
      <c r="B152" t="s">
        <v>10</v>
      </c>
      <c r="C152" t="s">
        <v>11</v>
      </c>
      <c r="D152">
        <v>184</v>
      </c>
      <c r="E152">
        <v>104</v>
      </c>
      <c r="F152">
        <v>13</v>
      </c>
      <c r="G152">
        <v>619606</v>
      </c>
      <c r="H152">
        <v>68822</v>
      </c>
      <c r="I152">
        <v>72</v>
      </c>
      <c r="J152" s="1">
        <f>Table2[[#This Row],[Deals Closed]]/Table2[[#This Row],[Leads Generated]]</f>
        <v>7.0652173913043473E-2</v>
      </c>
      <c r="K152" s="1">
        <f>Table2[[#This Row],[Deals Closed]]/Table2[[#This Row],[Demo Calls]]</f>
        <v>0.125</v>
      </c>
      <c r="L152" s="2">
        <f>Table2[[#This Row],[Revenue]]/Table2[[#This Row],[Leads Generated]]</f>
        <v>3367.4239130434785</v>
      </c>
      <c r="M152" s="2">
        <f>Table2[[#This Row],[Marketing Spend]]/Table2[[#This Row],[Leads Generated]]</f>
        <v>374.03260869565219</v>
      </c>
      <c r="N152" s="2">
        <f>Table2[[#This Row],[Marketing Spend]]/Table2[[#This Row],[Deals Closed]]</f>
        <v>5294</v>
      </c>
    </row>
    <row r="153" spans="1:14" x14ac:dyDescent="0.3">
      <c r="A153" t="s">
        <v>169</v>
      </c>
      <c r="B153" t="s">
        <v>13</v>
      </c>
      <c r="C153" t="s">
        <v>21</v>
      </c>
      <c r="D153">
        <v>182</v>
      </c>
      <c r="E153">
        <v>85</v>
      </c>
      <c r="F153">
        <v>9</v>
      </c>
      <c r="G153">
        <v>342324</v>
      </c>
      <c r="H153">
        <v>103829</v>
      </c>
      <c r="I153">
        <v>74</v>
      </c>
      <c r="J153" s="1">
        <f>Table2[[#This Row],[Deals Closed]]/Table2[[#This Row],[Leads Generated]]</f>
        <v>4.9450549450549448E-2</v>
      </c>
      <c r="K153" s="1">
        <f>Table2[[#This Row],[Deals Closed]]/Table2[[#This Row],[Demo Calls]]</f>
        <v>0.10588235294117647</v>
      </c>
      <c r="L153" s="2">
        <f>Table2[[#This Row],[Revenue]]/Table2[[#This Row],[Leads Generated]]</f>
        <v>1880.901098901099</v>
      </c>
      <c r="M153" s="2">
        <f>Table2[[#This Row],[Marketing Spend]]/Table2[[#This Row],[Leads Generated]]</f>
        <v>570.48901098901104</v>
      </c>
      <c r="N153" s="2">
        <f>Table2[[#This Row],[Marketing Spend]]/Table2[[#This Row],[Deals Closed]]</f>
        <v>11536.555555555555</v>
      </c>
    </row>
    <row r="154" spans="1:14" x14ac:dyDescent="0.3">
      <c r="A154" t="s">
        <v>170</v>
      </c>
      <c r="B154" t="s">
        <v>24</v>
      </c>
      <c r="C154" t="s">
        <v>21</v>
      </c>
      <c r="D154">
        <v>63</v>
      </c>
      <c r="E154">
        <v>34</v>
      </c>
      <c r="F154">
        <v>5</v>
      </c>
      <c r="G154">
        <v>211230</v>
      </c>
      <c r="H154">
        <v>115787</v>
      </c>
      <c r="I154">
        <v>39</v>
      </c>
      <c r="J154" s="1">
        <f>Table2[[#This Row],[Deals Closed]]/Table2[[#This Row],[Leads Generated]]</f>
        <v>7.9365079365079361E-2</v>
      </c>
      <c r="K154" s="1">
        <f>Table2[[#This Row],[Deals Closed]]/Table2[[#This Row],[Demo Calls]]</f>
        <v>0.14705882352941177</v>
      </c>
      <c r="L154" s="2">
        <f>Table2[[#This Row],[Revenue]]/Table2[[#This Row],[Leads Generated]]</f>
        <v>3352.8571428571427</v>
      </c>
      <c r="M154" s="2">
        <f>Table2[[#This Row],[Marketing Spend]]/Table2[[#This Row],[Leads Generated]]</f>
        <v>1837.8888888888889</v>
      </c>
      <c r="N154" s="2">
        <f>Table2[[#This Row],[Marketing Spend]]/Table2[[#This Row],[Deals Closed]]</f>
        <v>23157.4</v>
      </c>
    </row>
    <row r="155" spans="1:14" x14ac:dyDescent="0.3">
      <c r="A155" t="s">
        <v>171</v>
      </c>
      <c r="B155" t="s">
        <v>18</v>
      </c>
      <c r="C155" t="s">
        <v>31</v>
      </c>
      <c r="D155">
        <v>146</v>
      </c>
      <c r="E155">
        <v>114</v>
      </c>
      <c r="F155">
        <v>22</v>
      </c>
      <c r="G155">
        <v>1166594</v>
      </c>
      <c r="H155">
        <v>91154</v>
      </c>
      <c r="I155">
        <v>22</v>
      </c>
      <c r="J155" s="1">
        <f>Table2[[#This Row],[Deals Closed]]/Table2[[#This Row],[Leads Generated]]</f>
        <v>0.15068493150684931</v>
      </c>
      <c r="K155" s="1">
        <f>Table2[[#This Row],[Deals Closed]]/Table2[[#This Row],[Demo Calls]]</f>
        <v>0.19298245614035087</v>
      </c>
      <c r="L155" s="2">
        <f>Table2[[#This Row],[Revenue]]/Table2[[#This Row],[Leads Generated]]</f>
        <v>7990.3698630136987</v>
      </c>
      <c r="M155" s="2">
        <f>Table2[[#This Row],[Marketing Spend]]/Table2[[#This Row],[Leads Generated]]</f>
        <v>624.34246575342468</v>
      </c>
      <c r="N155" s="2">
        <f>Table2[[#This Row],[Marketing Spend]]/Table2[[#This Row],[Deals Closed]]</f>
        <v>4143.363636363636</v>
      </c>
    </row>
    <row r="156" spans="1:14" x14ac:dyDescent="0.3">
      <c r="A156" t="s">
        <v>172</v>
      </c>
      <c r="B156" t="s">
        <v>24</v>
      </c>
      <c r="C156" t="s">
        <v>21</v>
      </c>
      <c r="D156">
        <v>167</v>
      </c>
      <c r="E156">
        <v>144</v>
      </c>
      <c r="F156">
        <v>20</v>
      </c>
      <c r="G156">
        <v>1049100</v>
      </c>
      <c r="H156">
        <v>100043</v>
      </c>
      <c r="I156">
        <v>46</v>
      </c>
      <c r="J156" s="1">
        <f>Table2[[#This Row],[Deals Closed]]/Table2[[#This Row],[Leads Generated]]</f>
        <v>0.11976047904191617</v>
      </c>
      <c r="K156" s="1">
        <f>Table2[[#This Row],[Deals Closed]]/Table2[[#This Row],[Demo Calls]]</f>
        <v>0.1388888888888889</v>
      </c>
      <c r="L156" s="2">
        <f>Table2[[#This Row],[Revenue]]/Table2[[#This Row],[Leads Generated]]</f>
        <v>6282.0359281437122</v>
      </c>
      <c r="M156" s="2">
        <f>Table2[[#This Row],[Marketing Spend]]/Table2[[#This Row],[Leads Generated]]</f>
        <v>599.05988023952091</v>
      </c>
      <c r="N156" s="2">
        <f>Table2[[#This Row],[Marketing Spend]]/Table2[[#This Row],[Deals Closed]]</f>
        <v>5002.1499999999996</v>
      </c>
    </row>
    <row r="157" spans="1:14" x14ac:dyDescent="0.3">
      <c r="A157" t="s">
        <v>173</v>
      </c>
      <c r="B157" t="s">
        <v>18</v>
      </c>
      <c r="C157" t="s">
        <v>11</v>
      </c>
      <c r="D157">
        <v>115</v>
      </c>
      <c r="E157">
        <v>72</v>
      </c>
      <c r="F157">
        <v>10</v>
      </c>
      <c r="G157">
        <v>355190</v>
      </c>
      <c r="H157">
        <v>119601</v>
      </c>
      <c r="I157">
        <v>39</v>
      </c>
      <c r="J157" s="1">
        <f>Table2[[#This Row],[Deals Closed]]/Table2[[#This Row],[Leads Generated]]</f>
        <v>8.6956521739130432E-2</v>
      </c>
      <c r="K157" s="1">
        <f>Table2[[#This Row],[Deals Closed]]/Table2[[#This Row],[Demo Calls]]</f>
        <v>0.1388888888888889</v>
      </c>
      <c r="L157" s="2">
        <f>Table2[[#This Row],[Revenue]]/Table2[[#This Row],[Leads Generated]]</f>
        <v>3088.608695652174</v>
      </c>
      <c r="M157" s="2">
        <f>Table2[[#This Row],[Marketing Spend]]/Table2[[#This Row],[Leads Generated]]</f>
        <v>1040.0086956521739</v>
      </c>
      <c r="N157" s="2">
        <f>Table2[[#This Row],[Marketing Spend]]/Table2[[#This Row],[Deals Closed]]</f>
        <v>11960.1</v>
      </c>
    </row>
    <row r="158" spans="1:14" x14ac:dyDescent="0.3">
      <c r="A158" t="s">
        <v>174</v>
      </c>
      <c r="B158" t="s">
        <v>18</v>
      </c>
      <c r="C158" t="s">
        <v>11</v>
      </c>
      <c r="D158">
        <v>76</v>
      </c>
      <c r="E158">
        <v>61</v>
      </c>
      <c r="F158">
        <v>11</v>
      </c>
      <c r="G158">
        <v>433620</v>
      </c>
      <c r="H158">
        <v>55042</v>
      </c>
      <c r="I158">
        <v>59</v>
      </c>
      <c r="J158" s="1">
        <f>Table2[[#This Row],[Deals Closed]]/Table2[[#This Row],[Leads Generated]]</f>
        <v>0.14473684210526316</v>
      </c>
      <c r="K158" s="1">
        <f>Table2[[#This Row],[Deals Closed]]/Table2[[#This Row],[Demo Calls]]</f>
        <v>0.18032786885245902</v>
      </c>
      <c r="L158" s="2">
        <f>Table2[[#This Row],[Revenue]]/Table2[[#This Row],[Leads Generated]]</f>
        <v>5705.5263157894733</v>
      </c>
      <c r="M158" s="2">
        <f>Table2[[#This Row],[Marketing Spend]]/Table2[[#This Row],[Leads Generated]]</f>
        <v>724.23684210526312</v>
      </c>
      <c r="N158" s="2">
        <f>Table2[[#This Row],[Marketing Spend]]/Table2[[#This Row],[Deals Closed]]</f>
        <v>5003.818181818182</v>
      </c>
    </row>
    <row r="159" spans="1:14" x14ac:dyDescent="0.3">
      <c r="A159" t="s">
        <v>175</v>
      </c>
      <c r="B159" t="s">
        <v>24</v>
      </c>
      <c r="C159" t="s">
        <v>11</v>
      </c>
      <c r="D159">
        <v>115</v>
      </c>
      <c r="E159">
        <v>85</v>
      </c>
      <c r="F159">
        <v>8</v>
      </c>
      <c r="G159">
        <v>294112</v>
      </c>
      <c r="H159">
        <v>22018</v>
      </c>
      <c r="I159">
        <v>68</v>
      </c>
      <c r="J159" s="1">
        <f>Table2[[#This Row],[Deals Closed]]/Table2[[#This Row],[Leads Generated]]</f>
        <v>6.9565217391304349E-2</v>
      </c>
      <c r="K159" s="1">
        <f>Table2[[#This Row],[Deals Closed]]/Table2[[#This Row],[Demo Calls]]</f>
        <v>9.4117647058823528E-2</v>
      </c>
      <c r="L159" s="2">
        <f>Table2[[#This Row],[Revenue]]/Table2[[#This Row],[Leads Generated]]</f>
        <v>2557.4956521739132</v>
      </c>
      <c r="M159" s="2">
        <f>Table2[[#This Row],[Marketing Spend]]/Table2[[#This Row],[Leads Generated]]</f>
        <v>191.46086956521739</v>
      </c>
      <c r="N159" s="2">
        <f>Table2[[#This Row],[Marketing Spend]]/Table2[[#This Row],[Deals Closed]]</f>
        <v>2752.25</v>
      </c>
    </row>
    <row r="160" spans="1:14" x14ac:dyDescent="0.3">
      <c r="A160" t="s">
        <v>176</v>
      </c>
      <c r="B160" t="s">
        <v>10</v>
      </c>
      <c r="C160" t="s">
        <v>14</v>
      </c>
      <c r="D160">
        <v>81</v>
      </c>
      <c r="E160">
        <v>31</v>
      </c>
      <c r="F160">
        <v>4</v>
      </c>
      <c r="G160">
        <v>164572</v>
      </c>
      <c r="H160">
        <v>99926</v>
      </c>
      <c r="I160">
        <v>34</v>
      </c>
      <c r="J160" s="1">
        <f>Table2[[#This Row],[Deals Closed]]/Table2[[#This Row],[Leads Generated]]</f>
        <v>4.9382716049382713E-2</v>
      </c>
      <c r="K160" s="1">
        <f>Table2[[#This Row],[Deals Closed]]/Table2[[#This Row],[Demo Calls]]</f>
        <v>0.12903225806451613</v>
      </c>
      <c r="L160" s="2">
        <f>Table2[[#This Row],[Revenue]]/Table2[[#This Row],[Leads Generated]]</f>
        <v>2031.7530864197531</v>
      </c>
      <c r="M160" s="2">
        <f>Table2[[#This Row],[Marketing Spend]]/Table2[[#This Row],[Leads Generated]]</f>
        <v>1233.6543209876543</v>
      </c>
      <c r="N160" s="2">
        <f>Table2[[#This Row],[Marketing Spend]]/Table2[[#This Row],[Deals Closed]]</f>
        <v>24981.5</v>
      </c>
    </row>
    <row r="161" spans="1:14" x14ac:dyDescent="0.3">
      <c r="A161" t="s">
        <v>177</v>
      </c>
      <c r="B161" t="s">
        <v>10</v>
      </c>
      <c r="C161" t="s">
        <v>31</v>
      </c>
      <c r="D161">
        <v>110</v>
      </c>
      <c r="E161">
        <v>47</v>
      </c>
      <c r="F161">
        <v>8</v>
      </c>
      <c r="G161">
        <v>359656</v>
      </c>
      <c r="H161">
        <v>75804</v>
      </c>
      <c r="I161">
        <v>31</v>
      </c>
      <c r="J161" s="1">
        <f>Table2[[#This Row],[Deals Closed]]/Table2[[#This Row],[Leads Generated]]</f>
        <v>7.2727272727272724E-2</v>
      </c>
      <c r="K161" s="1">
        <f>Table2[[#This Row],[Deals Closed]]/Table2[[#This Row],[Demo Calls]]</f>
        <v>0.1702127659574468</v>
      </c>
      <c r="L161" s="2">
        <f>Table2[[#This Row],[Revenue]]/Table2[[#This Row],[Leads Generated]]</f>
        <v>3269.6</v>
      </c>
      <c r="M161" s="2">
        <f>Table2[[#This Row],[Marketing Spend]]/Table2[[#This Row],[Leads Generated]]</f>
        <v>689.12727272727273</v>
      </c>
      <c r="N161" s="2">
        <f>Table2[[#This Row],[Marketing Spend]]/Table2[[#This Row],[Deals Closed]]</f>
        <v>9475.5</v>
      </c>
    </row>
    <row r="162" spans="1:14" x14ac:dyDescent="0.3">
      <c r="A162" t="s">
        <v>178</v>
      </c>
      <c r="B162" t="s">
        <v>13</v>
      </c>
      <c r="C162" t="s">
        <v>31</v>
      </c>
      <c r="D162">
        <v>155</v>
      </c>
      <c r="E162">
        <v>135</v>
      </c>
      <c r="F162">
        <v>22</v>
      </c>
      <c r="G162">
        <v>981024</v>
      </c>
      <c r="H162">
        <v>20871</v>
      </c>
      <c r="I162">
        <v>36</v>
      </c>
      <c r="J162" s="1">
        <f>Table2[[#This Row],[Deals Closed]]/Table2[[#This Row],[Leads Generated]]</f>
        <v>0.14193548387096774</v>
      </c>
      <c r="K162" s="1">
        <f>Table2[[#This Row],[Deals Closed]]/Table2[[#This Row],[Demo Calls]]</f>
        <v>0.16296296296296298</v>
      </c>
      <c r="L162" s="2">
        <f>Table2[[#This Row],[Revenue]]/Table2[[#This Row],[Leads Generated]]</f>
        <v>6329.1870967741934</v>
      </c>
      <c r="M162" s="2">
        <f>Table2[[#This Row],[Marketing Spend]]/Table2[[#This Row],[Leads Generated]]</f>
        <v>134.65161290322581</v>
      </c>
      <c r="N162" s="2">
        <f>Table2[[#This Row],[Marketing Spend]]/Table2[[#This Row],[Deals Closed]]</f>
        <v>948.68181818181813</v>
      </c>
    </row>
    <row r="163" spans="1:14" x14ac:dyDescent="0.3">
      <c r="A163" t="s">
        <v>179</v>
      </c>
      <c r="B163" t="s">
        <v>10</v>
      </c>
      <c r="C163" t="s">
        <v>31</v>
      </c>
      <c r="D163">
        <v>143</v>
      </c>
      <c r="E163">
        <v>132</v>
      </c>
      <c r="F163">
        <v>14</v>
      </c>
      <c r="G163">
        <v>655606</v>
      </c>
      <c r="H163">
        <v>43827</v>
      </c>
      <c r="I163">
        <v>70</v>
      </c>
      <c r="J163" s="1">
        <f>Table2[[#This Row],[Deals Closed]]/Table2[[#This Row],[Leads Generated]]</f>
        <v>9.7902097902097904E-2</v>
      </c>
      <c r="K163" s="1">
        <f>Table2[[#This Row],[Deals Closed]]/Table2[[#This Row],[Demo Calls]]</f>
        <v>0.10606060606060606</v>
      </c>
      <c r="L163" s="2">
        <f>Table2[[#This Row],[Revenue]]/Table2[[#This Row],[Leads Generated]]</f>
        <v>4584.6573426573423</v>
      </c>
      <c r="M163" s="2">
        <f>Table2[[#This Row],[Marketing Spend]]/Table2[[#This Row],[Leads Generated]]</f>
        <v>306.48251748251749</v>
      </c>
      <c r="N163" s="2">
        <f>Table2[[#This Row],[Marketing Spend]]/Table2[[#This Row],[Deals Closed]]</f>
        <v>3130.5</v>
      </c>
    </row>
    <row r="164" spans="1:14" x14ac:dyDescent="0.3">
      <c r="A164" t="s">
        <v>180</v>
      </c>
      <c r="B164" t="s">
        <v>24</v>
      </c>
      <c r="C164" t="s">
        <v>31</v>
      </c>
      <c r="D164">
        <v>118</v>
      </c>
      <c r="E164">
        <v>59</v>
      </c>
      <c r="F164">
        <v>5</v>
      </c>
      <c r="G164">
        <v>247555</v>
      </c>
      <c r="H164">
        <v>86768</v>
      </c>
      <c r="I164">
        <v>53</v>
      </c>
      <c r="J164" s="1">
        <f>Table2[[#This Row],[Deals Closed]]/Table2[[#This Row],[Leads Generated]]</f>
        <v>4.2372881355932202E-2</v>
      </c>
      <c r="K164" s="1">
        <f>Table2[[#This Row],[Deals Closed]]/Table2[[#This Row],[Demo Calls]]</f>
        <v>8.4745762711864403E-2</v>
      </c>
      <c r="L164" s="2">
        <f>Table2[[#This Row],[Revenue]]/Table2[[#This Row],[Leads Generated]]</f>
        <v>2097.9237288135591</v>
      </c>
      <c r="M164" s="2">
        <f>Table2[[#This Row],[Marketing Spend]]/Table2[[#This Row],[Leads Generated]]</f>
        <v>735.32203389830511</v>
      </c>
      <c r="N164" s="2">
        <f>Table2[[#This Row],[Marketing Spend]]/Table2[[#This Row],[Deals Closed]]</f>
        <v>17353.599999999999</v>
      </c>
    </row>
    <row r="165" spans="1:14" x14ac:dyDescent="0.3">
      <c r="A165" t="s">
        <v>181</v>
      </c>
      <c r="B165" t="s">
        <v>13</v>
      </c>
      <c r="C165" t="s">
        <v>14</v>
      </c>
      <c r="D165">
        <v>190</v>
      </c>
      <c r="E165">
        <v>107</v>
      </c>
      <c r="F165">
        <v>21</v>
      </c>
      <c r="G165">
        <v>947352</v>
      </c>
      <c r="H165">
        <v>102837</v>
      </c>
      <c r="I165">
        <v>41</v>
      </c>
      <c r="J165" s="1">
        <f>Table2[[#This Row],[Deals Closed]]/Table2[[#This Row],[Leads Generated]]</f>
        <v>0.11052631578947368</v>
      </c>
      <c r="K165" s="1">
        <f>Table2[[#This Row],[Deals Closed]]/Table2[[#This Row],[Demo Calls]]</f>
        <v>0.19626168224299065</v>
      </c>
      <c r="L165" s="2">
        <f>Table2[[#This Row],[Revenue]]/Table2[[#This Row],[Leads Generated]]</f>
        <v>4986.0631578947368</v>
      </c>
      <c r="M165" s="2">
        <f>Table2[[#This Row],[Marketing Spend]]/Table2[[#This Row],[Leads Generated]]</f>
        <v>541.24736842105267</v>
      </c>
      <c r="N165" s="2">
        <f>Table2[[#This Row],[Marketing Spend]]/Table2[[#This Row],[Deals Closed]]</f>
        <v>4897</v>
      </c>
    </row>
    <row r="166" spans="1:14" x14ac:dyDescent="0.3">
      <c r="A166" t="s">
        <v>182</v>
      </c>
      <c r="B166" t="s">
        <v>13</v>
      </c>
      <c r="C166" t="s">
        <v>21</v>
      </c>
      <c r="D166">
        <v>68</v>
      </c>
      <c r="E166">
        <v>37</v>
      </c>
      <c r="F166">
        <v>4</v>
      </c>
      <c r="G166">
        <v>166400</v>
      </c>
      <c r="H166">
        <v>73187</v>
      </c>
      <c r="I166">
        <v>39</v>
      </c>
      <c r="J166" s="1">
        <f>Table2[[#This Row],[Deals Closed]]/Table2[[#This Row],[Leads Generated]]</f>
        <v>5.8823529411764705E-2</v>
      </c>
      <c r="K166" s="1">
        <f>Table2[[#This Row],[Deals Closed]]/Table2[[#This Row],[Demo Calls]]</f>
        <v>0.10810810810810811</v>
      </c>
      <c r="L166" s="2">
        <f>Table2[[#This Row],[Revenue]]/Table2[[#This Row],[Leads Generated]]</f>
        <v>2447.0588235294117</v>
      </c>
      <c r="M166" s="2">
        <f>Table2[[#This Row],[Marketing Spend]]/Table2[[#This Row],[Leads Generated]]</f>
        <v>1076.2794117647059</v>
      </c>
      <c r="N166" s="2">
        <f>Table2[[#This Row],[Marketing Spend]]/Table2[[#This Row],[Deals Closed]]</f>
        <v>18296.75</v>
      </c>
    </row>
    <row r="167" spans="1:14" x14ac:dyDescent="0.3">
      <c r="A167" t="s">
        <v>183</v>
      </c>
      <c r="B167" t="s">
        <v>24</v>
      </c>
      <c r="C167" t="s">
        <v>11</v>
      </c>
      <c r="D167">
        <v>164</v>
      </c>
      <c r="E167">
        <v>156</v>
      </c>
      <c r="F167">
        <v>21</v>
      </c>
      <c r="G167">
        <v>843297</v>
      </c>
      <c r="H167">
        <v>45436</v>
      </c>
      <c r="I167">
        <v>23</v>
      </c>
      <c r="J167" s="1">
        <f>Table2[[#This Row],[Deals Closed]]/Table2[[#This Row],[Leads Generated]]</f>
        <v>0.12804878048780488</v>
      </c>
      <c r="K167" s="1">
        <f>Table2[[#This Row],[Deals Closed]]/Table2[[#This Row],[Demo Calls]]</f>
        <v>0.13461538461538461</v>
      </c>
      <c r="L167" s="2">
        <f>Table2[[#This Row],[Revenue]]/Table2[[#This Row],[Leads Generated]]</f>
        <v>5142.0548780487807</v>
      </c>
      <c r="M167" s="2">
        <f>Table2[[#This Row],[Marketing Spend]]/Table2[[#This Row],[Leads Generated]]</f>
        <v>277.04878048780489</v>
      </c>
      <c r="N167" s="2">
        <f>Table2[[#This Row],[Marketing Spend]]/Table2[[#This Row],[Deals Closed]]</f>
        <v>2163.6190476190477</v>
      </c>
    </row>
    <row r="168" spans="1:14" x14ac:dyDescent="0.3">
      <c r="A168" t="s">
        <v>184</v>
      </c>
      <c r="B168" t="s">
        <v>10</v>
      </c>
      <c r="C168" t="s">
        <v>11</v>
      </c>
      <c r="D168">
        <v>92</v>
      </c>
      <c r="E168">
        <v>67</v>
      </c>
      <c r="F168">
        <v>12</v>
      </c>
      <c r="G168">
        <v>583488</v>
      </c>
      <c r="H168">
        <v>70317</v>
      </c>
      <c r="I168">
        <v>32</v>
      </c>
      <c r="J168" s="1">
        <f>Table2[[#This Row],[Deals Closed]]/Table2[[#This Row],[Leads Generated]]</f>
        <v>0.13043478260869565</v>
      </c>
      <c r="K168" s="1">
        <f>Table2[[#This Row],[Deals Closed]]/Table2[[#This Row],[Demo Calls]]</f>
        <v>0.17910447761194029</v>
      </c>
      <c r="L168" s="2">
        <f>Table2[[#This Row],[Revenue]]/Table2[[#This Row],[Leads Generated]]</f>
        <v>6342.260869565217</v>
      </c>
      <c r="M168" s="2">
        <f>Table2[[#This Row],[Marketing Spend]]/Table2[[#This Row],[Leads Generated]]</f>
        <v>764.31521739130437</v>
      </c>
      <c r="N168" s="2">
        <f>Table2[[#This Row],[Marketing Spend]]/Table2[[#This Row],[Deals Closed]]</f>
        <v>5859.75</v>
      </c>
    </row>
    <row r="169" spans="1:14" x14ac:dyDescent="0.3">
      <c r="A169" t="s">
        <v>185</v>
      </c>
      <c r="B169" t="s">
        <v>24</v>
      </c>
      <c r="C169" t="s">
        <v>31</v>
      </c>
      <c r="D169">
        <v>95</v>
      </c>
      <c r="E169">
        <v>61</v>
      </c>
      <c r="F169">
        <v>11</v>
      </c>
      <c r="G169">
        <v>542652</v>
      </c>
      <c r="H169">
        <v>53002</v>
      </c>
      <c r="I169">
        <v>22</v>
      </c>
      <c r="J169" s="1">
        <f>Table2[[#This Row],[Deals Closed]]/Table2[[#This Row],[Leads Generated]]</f>
        <v>0.11578947368421053</v>
      </c>
      <c r="K169" s="1">
        <f>Table2[[#This Row],[Deals Closed]]/Table2[[#This Row],[Demo Calls]]</f>
        <v>0.18032786885245902</v>
      </c>
      <c r="L169" s="2">
        <f>Table2[[#This Row],[Revenue]]/Table2[[#This Row],[Leads Generated]]</f>
        <v>5712.1263157894737</v>
      </c>
      <c r="M169" s="2">
        <f>Table2[[#This Row],[Marketing Spend]]/Table2[[#This Row],[Leads Generated]]</f>
        <v>557.91578947368419</v>
      </c>
      <c r="N169" s="2">
        <f>Table2[[#This Row],[Marketing Spend]]/Table2[[#This Row],[Deals Closed]]</f>
        <v>4818.363636363636</v>
      </c>
    </row>
    <row r="170" spans="1:14" x14ac:dyDescent="0.3">
      <c r="A170" t="s">
        <v>186</v>
      </c>
      <c r="B170" t="s">
        <v>18</v>
      </c>
      <c r="C170" t="s">
        <v>11</v>
      </c>
      <c r="D170">
        <v>121</v>
      </c>
      <c r="E170">
        <v>68</v>
      </c>
      <c r="F170">
        <v>9</v>
      </c>
      <c r="G170">
        <v>481581</v>
      </c>
      <c r="H170">
        <v>111344</v>
      </c>
      <c r="I170">
        <v>41</v>
      </c>
      <c r="J170" s="1">
        <f>Table2[[#This Row],[Deals Closed]]/Table2[[#This Row],[Leads Generated]]</f>
        <v>7.43801652892562E-2</v>
      </c>
      <c r="K170" s="1">
        <f>Table2[[#This Row],[Deals Closed]]/Table2[[#This Row],[Demo Calls]]</f>
        <v>0.13235294117647059</v>
      </c>
      <c r="L170" s="2">
        <f>Table2[[#This Row],[Revenue]]/Table2[[#This Row],[Leads Generated]]</f>
        <v>3980.0082644628101</v>
      </c>
      <c r="M170" s="2">
        <f>Table2[[#This Row],[Marketing Spend]]/Table2[[#This Row],[Leads Generated]]</f>
        <v>920.19834710743805</v>
      </c>
      <c r="N170" s="2">
        <f>Table2[[#This Row],[Marketing Spend]]/Table2[[#This Row],[Deals Closed]]</f>
        <v>12371.555555555555</v>
      </c>
    </row>
    <row r="171" spans="1:14" x14ac:dyDescent="0.3">
      <c r="A171" t="s">
        <v>187</v>
      </c>
      <c r="B171" t="s">
        <v>24</v>
      </c>
      <c r="C171" t="s">
        <v>21</v>
      </c>
      <c r="D171">
        <v>98</v>
      </c>
      <c r="E171">
        <v>35</v>
      </c>
      <c r="F171">
        <v>3</v>
      </c>
      <c r="G171">
        <v>161697</v>
      </c>
      <c r="H171">
        <v>25020</v>
      </c>
      <c r="I171">
        <v>45</v>
      </c>
      <c r="J171" s="1">
        <f>Table2[[#This Row],[Deals Closed]]/Table2[[#This Row],[Leads Generated]]</f>
        <v>3.0612244897959183E-2</v>
      </c>
      <c r="K171" s="1">
        <f>Table2[[#This Row],[Deals Closed]]/Table2[[#This Row],[Demo Calls]]</f>
        <v>8.5714285714285715E-2</v>
      </c>
      <c r="L171" s="2">
        <f>Table2[[#This Row],[Revenue]]/Table2[[#This Row],[Leads Generated]]</f>
        <v>1649.9693877551019</v>
      </c>
      <c r="M171" s="2">
        <f>Table2[[#This Row],[Marketing Spend]]/Table2[[#This Row],[Leads Generated]]</f>
        <v>255.30612244897958</v>
      </c>
      <c r="N171" s="2">
        <f>Table2[[#This Row],[Marketing Spend]]/Table2[[#This Row],[Deals Closed]]</f>
        <v>8340</v>
      </c>
    </row>
    <row r="172" spans="1:14" x14ac:dyDescent="0.3">
      <c r="A172" t="s">
        <v>188</v>
      </c>
      <c r="B172" t="s">
        <v>10</v>
      </c>
      <c r="C172" t="s">
        <v>21</v>
      </c>
      <c r="D172">
        <v>169</v>
      </c>
      <c r="E172">
        <v>95</v>
      </c>
      <c r="F172">
        <v>17</v>
      </c>
      <c r="G172">
        <v>890613</v>
      </c>
      <c r="H172">
        <v>137860</v>
      </c>
      <c r="I172">
        <v>24</v>
      </c>
      <c r="J172" s="1">
        <f>Table2[[#This Row],[Deals Closed]]/Table2[[#This Row],[Leads Generated]]</f>
        <v>0.10059171597633136</v>
      </c>
      <c r="K172" s="1">
        <f>Table2[[#This Row],[Deals Closed]]/Table2[[#This Row],[Demo Calls]]</f>
        <v>0.17894736842105263</v>
      </c>
      <c r="L172" s="2">
        <f>Table2[[#This Row],[Revenue]]/Table2[[#This Row],[Leads Generated]]</f>
        <v>5269.8994082840236</v>
      </c>
      <c r="M172" s="2">
        <f>Table2[[#This Row],[Marketing Spend]]/Table2[[#This Row],[Leads Generated]]</f>
        <v>815.73964497041425</v>
      </c>
      <c r="N172" s="2">
        <f>Table2[[#This Row],[Marketing Spend]]/Table2[[#This Row],[Deals Closed]]</f>
        <v>8109.411764705882</v>
      </c>
    </row>
    <row r="173" spans="1:14" x14ac:dyDescent="0.3">
      <c r="A173" t="s">
        <v>189</v>
      </c>
      <c r="B173" t="s">
        <v>13</v>
      </c>
      <c r="C173" t="s">
        <v>16</v>
      </c>
      <c r="D173">
        <v>61</v>
      </c>
      <c r="E173">
        <v>41</v>
      </c>
      <c r="F173">
        <v>9</v>
      </c>
      <c r="G173">
        <v>372285</v>
      </c>
      <c r="H173">
        <v>87683</v>
      </c>
      <c r="I173">
        <v>80</v>
      </c>
      <c r="J173" s="1">
        <f>Table2[[#This Row],[Deals Closed]]/Table2[[#This Row],[Leads Generated]]</f>
        <v>0.14754098360655737</v>
      </c>
      <c r="K173" s="1">
        <f>Table2[[#This Row],[Deals Closed]]/Table2[[#This Row],[Demo Calls]]</f>
        <v>0.21951219512195122</v>
      </c>
      <c r="L173" s="2">
        <f>Table2[[#This Row],[Revenue]]/Table2[[#This Row],[Leads Generated]]</f>
        <v>6103.0327868852455</v>
      </c>
      <c r="M173" s="2">
        <f>Table2[[#This Row],[Marketing Spend]]/Table2[[#This Row],[Leads Generated]]</f>
        <v>1437.4262295081967</v>
      </c>
      <c r="N173" s="2">
        <f>Table2[[#This Row],[Marketing Spend]]/Table2[[#This Row],[Deals Closed]]</f>
        <v>9742.5555555555547</v>
      </c>
    </row>
    <row r="174" spans="1:14" x14ac:dyDescent="0.3">
      <c r="A174" t="s">
        <v>190</v>
      </c>
      <c r="B174" t="s">
        <v>24</v>
      </c>
      <c r="C174" t="s">
        <v>16</v>
      </c>
      <c r="D174">
        <v>119</v>
      </c>
      <c r="E174">
        <v>92</v>
      </c>
      <c r="F174">
        <v>17</v>
      </c>
      <c r="G174">
        <v>682805</v>
      </c>
      <c r="H174">
        <v>51245</v>
      </c>
      <c r="I174">
        <v>69</v>
      </c>
      <c r="J174" s="1">
        <f>Table2[[#This Row],[Deals Closed]]/Table2[[#This Row],[Leads Generated]]</f>
        <v>0.14285714285714285</v>
      </c>
      <c r="K174" s="1">
        <f>Table2[[#This Row],[Deals Closed]]/Table2[[#This Row],[Demo Calls]]</f>
        <v>0.18478260869565216</v>
      </c>
      <c r="L174" s="2">
        <f>Table2[[#This Row],[Revenue]]/Table2[[#This Row],[Leads Generated]]</f>
        <v>5737.8571428571431</v>
      </c>
      <c r="M174" s="2">
        <f>Table2[[#This Row],[Marketing Spend]]/Table2[[#This Row],[Leads Generated]]</f>
        <v>430.63025210084032</v>
      </c>
      <c r="N174" s="2">
        <f>Table2[[#This Row],[Marketing Spend]]/Table2[[#This Row],[Deals Closed]]</f>
        <v>3014.4117647058824</v>
      </c>
    </row>
    <row r="175" spans="1:14" x14ac:dyDescent="0.3">
      <c r="A175" t="s">
        <v>191</v>
      </c>
      <c r="B175" t="s">
        <v>13</v>
      </c>
      <c r="C175" t="s">
        <v>21</v>
      </c>
      <c r="D175">
        <v>148</v>
      </c>
      <c r="E175">
        <v>69</v>
      </c>
      <c r="F175">
        <v>5</v>
      </c>
      <c r="G175">
        <v>198515</v>
      </c>
      <c r="H175">
        <v>35596</v>
      </c>
      <c r="I175">
        <v>47</v>
      </c>
      <c r="J175" s="1">
        <f>Table2[[#This Row],[Deals Closed]]/Table2[[#This Row],[Leads Generated]]</f>
        <v>3.3783783783783786E-2</v>
      </c>
      <c r="K175" s="1">
        <f>Table2[[#This Row],[Deals Closed]]/Table2[[#This Row],[Demo Calls]]</f>
        <v>7.2463768115942032E-2</v>
      </c>
      <c r="L175" s="2">
        <f>Table2[[#This Row],[Revenue]]/Table2[[#This Row],[Leads Generated]]</f>
        <v>1341.3175675675675</v>
      </c>
      <c r="M175" s="2">
        <f>Table2[[#This Row],[Marketing Spend]]/Table2[[#This Row],[Leads Generated]]</f>
        <v>240.51351351351352</v>
      </c>
      <c r="N175" s="2">
        <f>Table2[[#This Row],[Marketing Spend]]/Table2[[#This Row],[Deals Closed]]</f>
        <v>7119.2</v>
      </c>
    </row>
    <row r="176" spans="1:14" x14ac:dyDescent="0.3">
      <c r="A176" t="s">
        <v>192</v>
      </c>
      <c r="B176" t="s">
        <v>13</v>
      </c>
      <c r="C176" t="s">
        <v>14</v>
      </c>
      <c r="D176">
        <v>167</v>
      </c>
      <c r="E176">
        <v>155</v>
      </c>
      <c r="F176">
        <v>14</v>
      </c>
      <c r="G176">
        <v>734692</v>
      </c>
      <c r="H176">
        <v>63078</v>
      </c>
      <c r="I176">
        <v>75</v>
      </c>
      <c r="J176" s="1">
        <f>Table2[[#This Row],[Deals Closed]]/Table2[[#This Row],[Leads Generated]]</f>
        <v>8.3832335329341312E-2</v>
      </c>
      <c r="K176" s="1">
        <f>Table2[[#This Row],[Deals Closed]]/Table2[[#This Row],[Demo Calls]]</f>
        <v>9.0322580645161285E-2</v>
      </c>
      <c r="L176" s="2">
        <f>Table2[[#This Row],[Revenue]]/Table2[[#This Row],[Leads Generated]]</f>
        <v>4399.3532934131736</v>
      </c>
      <c r="M176" s="2">
        <f>Table2[[#This Row],[Marketing Spend]]/Table2[[#This Row],[Leads Generated]]</f>
        <v>377.7125748502994</v>
      </c>
      <c r="N176" s="2">
        <f>Table2[[#This Row],[Marketing Spend]]/Table2[[#This Row],[Deals Closed]]</f>
        <v>4505.5714285714284</v>
      </c>
    </row>
    <row r="177" spans="1:14" x14ac:dyDescent="0.3">
      <c r="A177" t="s">
        <v>193</v>
      </c>
      <c r="B177" t="s">
        <v>10</v>
      </c>
      <c r="C177" t="s">
        <v>14</v>
      </c>
      <c r="D177">
        <v>136</v>
      </c>
      <c r="E177">
        <v>73</v>
      </c>
      <c r="F177">
        <v>9</v>
      </c>
      <c r="G177">
        <v>346752</v>
      </c>
      <c r="H177">
        <v>15901</v>
      </c>
      <c r="I177">
        <v>38</v>
      </c>
      <c r="J177" s="1">
        <f>Table2[[#This Row],[Deals Closed]]/Table2[[#This Row],[Leads Generated]]</f>
        <v>6.6176470588235295E-2</v>
      </c>
      <c r="K177" s="1">
        <f>Table2[[#This Row],[Deals Closed]]/Table2[[#This Row],[Demo Calls]]</f>
        <v>0.12328767123287671</v>
      </c>
      <c r="L177" s="2">
        <f>Table2[[#This Row],[Revenue]]/Table2[[#This Row],[Leads Generated]]</f>
        <v>2549.6470588235293</v>
      </c>
      <c r="M177" s="2">
        <f>Table2[[#This Row],[Marketing Spend]]/Table2[[#This Row],[Leads Generated]]</f>
        <v>116.91911764705883</v>
      </c>
      <c r="N177" s="2">
        <f>Table2[[#This Row],[Marketing Spend]]/Table2[[#This Row],[Deals Closed]]</f>
        <v>1766.7777777777778</v>
      </c>
    </row>
    <row r="178" spans="1:14" x14ac:dyDescent="0.3">
      <c r="A178" t="s">
        <v>194</v>
      </c>
      <c r="B178" t="s">
        <v>10</v>
      </c>
      <c r="C178" t="s">
        <v>21</v>
      </c>
      <c r="D178">
        <v>155</v>
      </c>
      <c r="E178">
        <v>59</v>
      </c>
      <c r="F178">
        <v>4</v>
      </c>
      <c r="G178">
        <v>145248</v>
      </c>
      <c r="H178">
        <v>50471</v>
      </c>
      <c r="I178">
        <v>59</v>
      </c>
      <c r="J178" s="1">
        <f>Table2[[#This Row],[Deals Closed]]/Table2[[#This Row],[Leads Generated]]</f>
        <v>2.5806451612903226E-2</v>
      </c>
      <c r="K178" s="1">
        <f>Table2[[#This Row],[Deals Closed]]/Table2[[#This Row],[Demo Calls]]</f>
        <v>6.7796610169491525E-2</v>
      </c>
      <c r="L178" s="2">
        <f>Table2[[#This Row],[Revenue]]/Table2[[#This Row],[Leads Generated]]</f>
        <v>937.08387096774197</v>
      </c>
      <c r="M178" s="2">
        <f>Table2[[#This Row],[Marketing Spend]]/Table2[[#This Row],[Leads Generated]]</f>
        <v>325.61935483870968</v>
      </c>
      <c r="N178" s="2">
        <f>Table2[[#This Row],[Marketing Spend]]/Table2[[#This Row],[Deals Closed]]</f>
        <v>12617.75</v>
      </c>
    </row>
    <row r="179" spans="1:14" x14ac:dyDescent="0.3">
      <c r="A179" t="s">
        <v>195</v>
      </c>
      <c r="B179" t="s">
        <v>13</v>
      </c>
      <c r="C179" t="s">
        <v>14</v>
      </c>
      <c r="D179">
        <v>60</v>
      </c>
      <c r="E179">
        <v>47</v>
      </c>
      <c r="F179">
        <v>4</v>
      </c>
      <c r="G179">
        <v>166832</v>
      </c>
      <c r="H179">
        <v>50662</v>
      </c>
      <c r="I179">
        <v>71</v>
      </c>
      <c r="J179" s="1">
        <f>Table2[[#This Row],[Deals Closed]]/Table2[[#This Row],[Leads Generated]]</f>
        <v>6.6666666666666666E-2</v>
      </c>
      <c r="K179" s="1">
        <f>Table2[[#This Row],[Deals Closed]]/Table2[[#This Row],[Demo Calls]]</f>
        <v>8.5106382978723402E-2</v>
      </c>
      <c r="L179" s="2">
        <f>Table2[[#This Row],[Revenue]]/Table2[[#This Row],[Leads Generated]]</f>
        <v>2780.5333333333333</v>
      </c>
      <c r="M179" s="2">
        <f>Table2[[#This Row],[Marketing Spend]]/Table2[[#This Row],[Leads Generated]]</f>
        <v>844.36666666666667</v>
      </c>
      <c r="N179" s="2">
        <f>Table2[[#This Row],[Marketing Spend]]/Table2[[#This Row],[Deals Closed]]</f>
        <v>12665.5</v>
      </c>
    </row>
    <row r="180" spans="1:14" x14ac:dyDescent="0.3">
      <c r="A180" t="s">
        <v>196</v>
      </c>
      <c r="B180" t="s">
        <v>18</v>
      </c>
      <c r="C180" t="s">
        <v>14</v>
      </c>
      <c r="D180">
        <v>128</v>
      </c>
      <c r="E180">
        <v>72</v>
      </c>
      <c r="F180">
        <v>7</v>
      </c>
      <c r="G180">
        <v>285537</v>
      </c>
      <c r="H180">
        <v>34863</v>
      </c>
      <c r="I180">
        <v>78</v>
      </c>
      <c r="J180" s="1">
        <f>Table2[[#This Row],[Deals Closed]]/Table2[[#This Row],[Leads Generated]]</f>
        <v>5.46875E-2</v>
      </c>
      <c r="K180" s="1">
        <f>Table2[[#This Row],[Deals Closed]]/Table2[[#This Row],[Demo Calls]]</f>
        <v>9.7222222222222224E-2</v>
      </c>
      <c r="L180" s="2">
        <f>Table2[[#This Row],[Revenue]]/Table2[[#This Row],[Leads Generated]]</f>
        <v>2230.7578125</v>
      </c>
      <c r="M180" s="2">
        <f>Table2[[#This Row],[Marketing Spend]]/Table2[[#This Row],[Leads Generated]]</f>
        <v>272.3671875</v>
      </c>
      <c r="N180" s="2">
        <f>Table2[[#This Row],[Marketing Spend]]/Table2[[#This Row],[Deals Closed]]</f>
        <v>4980.4285714285716</v>
      </c>
    </row>
    <row r="181" spans="1:14" x14ac:dyDescent="0.3">
      <c r="A181" t="s">
        <v>197</v>
      </c>
      <c r="B181" t="s">
        <v>24</v>
      </c>
      <c r="C181" t="s">
        <v>14</v>
      </c>
      <c r="D181">
        <v>68</v>
      </c>
      <c r="E181">
        <v>52</v>
      </c>
      <c r="F181">
        <v>9</v>
      </c>
      <c r="G181">
        <v>425754</v>
      </c>
      <c r="H181">
        <v>38192</v>
      </c>
      <c r="I181">
        <v>44</v>
      </c>
      <c r="J181" s="1">
        <f>Table2[[#This Row],[Deals Closed]]/Table2[[#This Row],[Leads Generated]]</f>
        <v>0.13235294117647059</v>
      </c>
      <c r="K181" s="1">
        <f>Table2[[#This Row],[Deals Closed]]/Table2[[#This Row],[Demo Calls]]</f>
        <v>0.17307692307692307</v>
      </c>
      <c r="L181" s="2">
        <f>Table2[[#This Row],[Revenue]]/Table2[[#This Row],[Leads Generated]]</f>
        <v>6261.088235294118</v>
      </c>
      <c r="M181" s="2">
        <f>Table2[[#This Row],[Marketing Spend]]/Table2[[#This Row],[Leads Generated]]</f>
        <v>561.64705882352939</v>
      </c>
      <c r="N181" s="2">
        <f>Table2[[#This Row],[Marketing Spend]]/Table2[[#This Row],[Deals Closed]]</f>
        <v>4243.5555555555557</v>
      </c>
    </row>
    <row r="182" spans="1:14" x14ac:dyDescent="0.3">
      <c r="A182" t="s">
        <v>198</v>
      </c>
      <c r="B182" t="s">
        <v>10</v>
      </c>
      <c r="C182" t="s">
        <v>21</v>
      </c>
      <c r="D182">
        <v>119</v>
      </c>
      <c r="E182">
        <v>112</v>
      </c>
      <c r="F182">
        <v>11</v>
      </c>
      <c r="G182">
        <v>463386</v>
      </c>
      <c r="H182">
        <v>26207</v>
      </c>
      <c r="I182">
        <v>54</v>
      </c>
      <c r="J182" s="1">
        <f>Table2[[#This Row],[Deals Closed]]/Table2[[#This Row],[Leads Generated]]</f>
        <v>9.2436974789915971E-2</v>
      </c>
      <c r="K182" s="1">
        <f>Table2[[#This Row],[Deals Closed]]/Table2[[#This Row],[Demo Calls]]</f>
        <v>9.8214285714285712E-2</v>
      </c>
      <c r="L182" s="2">
        <f>Table2[[#This Row],[Revenue]]/Table2[[#This Row],[Leads Generated]]</f>
        <v>3894</v>
      </c>
      <c r="M182" s="2">
        <f>Table2[[#This Row],[Marketing Spend]]/Table2[[#This Row],[Leads Generated]]</f>
        <v>220.22689075630251</v>
      </c>
      <c r="N182" s="2">
        <f>Table2[[#This Row],[Marketing Spend]]/Table2[[#This Row],[Deals Closed]]</f>
        <v>2382.4545454545455</v>
      </c>
    </row>
    <row r="183" spans="1:14" x14ac:dyDescent="0.3">
      <c r="A183" t="s">
        <v>9</v>
      </c>
      <c r="B183" t="s">
        <v>24</v>
      </c>
      <c r="C183" t="s">
        <v>31</v>
      </c>
      <c r="D183">
        <v>131</v>
      </c>
      <c r="E183">
        <v>120</v>
      </c>
      <c r="F183">
        <v>14</v>
      </c>
      <c r="G183">
        <v>586978</v>
      </c>
      <c r="H183">
        <v>19019</v>
      </c>
      <c r="I183">
        <v>35</v>
      </c>
      <c r="J183" s="1">
        <f>Table2[[#This Row],[Deals Closed]]/Table2[[#This Row],[Leads Generated]]</f>
        <v>0.10687022900763359</v>
      </c>
      <c r="K183" s="1">
        <f>Table2[[#This Row],[Deals Closed]]/Table2[[#This Row],[Demo Calls]]</f>
        <v>0.11666666666666667</v>
      </c>
      <c r="L183" s="2">
        <f>Table2[[#This Row],[Revenue]]/Table2[[#This Row],[Leads Generated]]</f>
        <v>4480.7480916030536</v>
      </c>
      <c r="M183" s="2">
        <f>Table2[[#This Row],[Marketing Spend]]/Table2[[#This Row],[Leads Generated]]</f>
        <v>145.18320610687022</v>
      </c>
      <c r="N183" s="2">
        <f>Table2[[#This Row],[Marketing Spend]]/Table2[[#This Row],[Deals Closed]]</f>
        <v>1358.5</v>
      </c>
    </row>
    <row r="184" spans="1:14" x14ac:dyDescent="0.3">
      <c r="A184" t="s">
        <v>12</v>
      </c>
      <c r="B184" t="s">
        <v>13</v>
      </c>
      <c r="C184" t="s">
        <v>21</v>
      </c>
      <c r="D184">
        <v>84</v>
      </c>
      <c r="E184">
        <v>57</v>
      </c>
      <c r="F184">
        <v>4</v>
      </c>
      <c r="G184">
        <v>173228</v>
      </c>
      <c r="H184">
        <v>127321</v>
      </c>
      <c r="I184">
        <v>29</v>
      </c>
      <c r="J184" s="1">
        <f>Table2[[#This Row],[Deals Closed]]/Table2[[#This Row],[Leads Generated]]</f>
        <v>4.7619047619047616E-2</v>
      </c>
      <c r="K184" s="1">
        <f>Table2[[#This Row],[Deals Closed]]/Table2[[#This Row],[Demo Calls]]</f>
        <v>7.0175438596491224E-2</v>
      </c>
      <c r="L184" s="2">
        <f>Table2[[#This Row],[Revenue]]/Table2[[#This Row],[Leads Generated]]</f>
        <v>2062.2380952380954</v>
      </c>
      <c r="M184" s="2">
        <f>Table2[[#This Row],[Marketing Spend]]/Table2[[#This Row],[Leads Generated]]</f>
        <v>1515.7261904761904</v>
      </c>
      <c r="N184" s="2">
        <f>Table2[[#This Row],[Marketing Spend]]/Table2[[#This Row],[Deals Closed]]</f>
        <v>31830.25</v>
      </c>
    </row>
    <row r="185" spans="1:14" x14ac:dyDescent="0.3">
      <c r="A185" t="s">
        <v>15</v>
      </c>
      <c r="B185" t="s">
        <v>10</v>
      </c>
      <c r="C185" t="s">
        <v>31</v>
      </c>
      <c r="D185">
        <v>148</v>
      </c>
      <c r="E185">
        <v>74</v>
      </c>
      <c r="F185">
        <v>9</v>
      </c>
      <c r="G185">
        <v>378180</v>
      </c>
      <c r="H185">
        <v>60598</v>
      </c>
      <c r="I185">
        <v>37</v>
      </c>
      <c r="J185" s="1">
        <f>Table2[[#This Row],[Deals Closed]]/Table2[[#This Row],[Leads Generated]]</f>
        <v>6.0810810810810814E-2</v>
      </c>
      <c r="K185" s="1">
        <f>Table2[[#This Row],[Deals Closed]]/Table2[[#This Row],[Demo Calls]]</f>
        <v>0.12162162162162163</v>
      </c>
      <c r="L185" s="2">
        <f>Table2[[#This Row],[Revenue]]/Table2[[#This Row],[Leads Generated]]</f>
        <v>2555.2702702702704</v>
      </c>
      <c r="M185" s="2">
        <f>Table2[[#This Row],[Marketing Spend]]/Table2[[#This Row],[Leads Generated]]</f>
        <v>409.44594594594594</v>
      </c>
      <c r="N185" s="2">
        <f>Table2[[#This Row],[Marketing Spend]]/Table2[[#This Row],[Deals Closed]]</f>
        <v>6733.1111111111113</v>
      </c>
    </row>
    <row r="186" spans="1:14" x14ac:dyDescent="0.3">
      <c r="A186" t="s">
        <v>17</v>
      </c>
      <c r="B186" t="s">
        <v>13</v>
      </c>
      <c r="C186" t="s">
        <v>14</v>
      </c>
      <c r="D186">
        <v>81</v>
      </c>
      <c r="E186">
        <v>50</v>
      </c>
      <c r="F186">
        <v>7</v>
      </c>
      <c r="G186">
        <v>327299</v>
      </c>
      <c r="H186">
        <v>70067</v>
      </c>
      <c r="I186">
        <v>77</v>
      </c>
      <c r="J186" s="1">
        <f>Table2[[#This Row],[Deals Closed]]/Table2[[#This Row],[Leads Generated]]</f>
        <v>8.6419753086419748E-2</v>
      </c>
      <c r="K186" s="1">
        <f>Table2[[#This Row],[Deals Closed]]/Table2[[#This Row],[Demo Calls]]</f>
        <v>0.14000000000000001</v>
      </c>
      <c r="L186" s="2">
        <f>Table2[[#This Row],[Revenue]]/Table2[[#This Row],[Leads Generated]]</f>
        <v>4040.7283950617284</v>
      </c>
      <c r="M186" s="2">
        <f>Table2[[#This Row],[Marketing Spend]]/Table2[[#This Row],[Leads Generated]]</f>
        <v>865.02469135802471</v>
      </c>
      <c r="N186" s="2">
        <f>Table2[[#This Row],[Marketing Spend]]/Table2[[#This Row],[Deals Closed]]</f>
        <v>10009.571428571429</v>
      </c>
    </row>
    <row r="187" spans="1:14" x14ac:dyDescent="0.3">
      <c r="A187" t="s">
        <v>19</v>
      </c>
      <c r="B187" t="s">
        <v>24</v>
      </c>
      <c r="C187" t="s">
        <v>14</v>
      </c>
      <c r="D187">
        <v>139</v>
      </c>
      <c r="E187">
        <v>57</v>
      </c>
      <c r="F187">
        <v>9</v>
      </c>
      <c r="G187">
        <v>421632</v>
      </c>
      <c r="H187">
        <v>46257</v>
      </c>
      <c r="I187">
        <v>72</v>
      </c>
      <c r="J187" s="1">
        <f>Table2[[#This Row],[Deals Closed]]/Table2[[#This Row],[Leads Generated]]</f>
        <v>6.4748201438848921E-2</v>
      </c>
      <c r="K187" s="1">
        <f>Table2[[#This Row],[Deals Closed]]/Table2[[#This Row],[Demo Calls]]</f>
        <v>0.15789473684210525</v>
      </c>
      <c r="L187" s="2">
        <f>Table2[[#This Row],[Revenue]]/Table2[[#This Row],[Leads Generated]]</f>
        <v>3033.3237410071943</v>
      </c>
      <c r="M187" s="2">
        <f>Table2[[#This Row],[Marketing Spend]]/Table2[[#This Row],[Leads Generated]]</f>
        <v>332.78417266187051</v>
      </c>
      <c r="N187" s="2">
        <f>Table2[[#This Row],[Marketing Spend]]/Table2[[#This Row],[Deals Closed]]</f>
        <v>5139.666666666667</v>
      </c>
    </row>
    <row r="188" spans="1:14" x14ac:dyDescent="0.3">
      <c r="A188" t="s">
        <v>20</v>
      </c>
      <c r="B188" t="s">
        <v>18</v>
      </c>
      <c r="C188" t="s">
        <v>16</v>
      </c>
      <c r="D188">
        <v>129</v>
      </c>
      <c r="E188">
        <v>97</v>
      </c>
      <c r="F188">
        <v>14</v>
      </c>
      <c r="G188">
        <v>696794</v>
      </c>
      <c r="H188">
        <v>65369</v>
      </c>
      <c r="I188">
        <v>33</v>
      </c>
      <c r="J188" s="1">
        <f>Table2[[#This Row],[Deals Closed]]/Table2[[#This Row],[Leads Generated]]</f>
        <v>0.10852713178294573</v>
      </c>
      <c r="K188" s="1">
        <f>Table2[[#This Row],[Deals Closed]]/Table2[[#This Row],[Demo Calls]]</f>
        <v>0.14432989690721648</v>
      </c>
      <c r="L188" s="2">
        <f>Table2[[#This Row],[Revenue]]/Table2[[#This Row],[Leads Generated]]</f>
        <v>5401.5038759689924</v>
      </c>
      <c r="M188" s="2">
        <f>Table2[[#This Row],[Marketing Spend]]/Table2[[#This Row],[Leads Generated]]</f>
        <v>506.73643410852713</v>
      </c>
      <c r="N188" s="2">
        <f>Table2[[#This Row],[Marketing Spend]]/Table2[[#This Row],[Deals Closed]]</f>
        <v>4669.2142857142853</v>
      </c>
    </row>
    <row r="189" spans="1:14" x14ac:dyDescent="0.3">
      <c r="A189" t="s">
        <v>22</v>
      </c>
      <c r="B189" t="s">
        <v>10</v>
      </c>
      <c r="C189" t="s">
        <v>11</v>
      </c>
      <c r="D189">
        <v>196</v>
      </c>
      <c r="E189">
        <v>182</v>
      </c>
      <c r="F189">
        <v>32</v>
      </c>
      <c r="G189">
        <v>1373088</v>
      </c>
      <c r="H189">
        <v>82871</v>
      </c>
      <c r="I189">
        <v>60</v>
      </c>
      <c r="J189" s="1">
        <f>Table2[[#This Row],[Deals Closed]]/Table2[[#This Row],[Leads Generated]]</f>
        <v>0.16326530612244897</v>
      </c>
      <c r="K189" s="1">
        <f>Table2[[#This Row],[Deals Closed]]/Table2[[#This Row],[Demo Calls]]</f>
        <v>0.17582417582417584</v>
      </c>
      <c r="L189" s="2">
        <f>Table2[[#This Row],[Revenue]]/Table2[[#This Row],[Leads Generated]]</f>
        <v>7005.5510204081629</v>
      </c>
      <c r="M189" s="2">
        <f>Table2[[#This Row],[Marketing Spend]]/Table2[[#This Row],[Leads Generated]]</f>
        <v>422.8112244897959</v>
      </c>
      <c r="N189" s="2">
        <f>Table2[[#This Row],[Marketing Spend]]/Table2[[#This Row],[Deals Closed]]</f>
        <v>2589.71875</v>
      </c>
    </row>
    <row r="190" spans="1:14" x14ac:dyDescent="0.3">
      <c r="A190" t="s">
        <v>23</v>
      </c>
      <c r="B190" t="s">
        <v>18</v>
      </c>
      <c r="C190" t="s">
        <v>11</v>
      </c>
      <c r="D190">
        <v>148</v>
      </c>
      <c r="E190">
        <v>105</v>
      </c>
      <c r="F190">
        <v>23</v>
      </c>
      <c r="G190">
        <v>1109014</v>
      </c>
      <c r="H190">
        <v>36329</v>
      </c>
      <c r="I190">
        <v>78</v>
      </c>
      <c r="J190" s="1">
        <f>Table2[[#This Row],[Deals Closed]]/Table2[[#This Row],[Leads Generated]]</f>
        <v>0.1554054054054054</v>
      </c>
      <c r="K190" s="1">
        <f>Table2[[#This Row],[Deals Closed]]/Table2[[#This Row],[Demo Calls]]</f>
        <v>0.21904761904761905</v>
      </c>
      <c r="L190" s="2">
        <f>Table2[[#This Row],[Revenue]]/Table2[[#This Row],[Leads Generated]]</f>
        <v>7493.3378378378375</v>
      </c>
      <c r="M190" s="2">
        <f>Table2[[#This Row],[Marketing Spend]]/Table2[[#This Row],[Leads Generated]]</f>
        <v>245.46621621621622</v>
      </c>
      <c r="N190" s="2">
        <f>Table2[[#This Row],[Marketing Spend]]/Table2[[#This Row],[Deals Closed]]</f>
        <v>1579.5217391304348</v>
      </c>
    </row>
    <row r="191" spans="1:14" x14ac:dyDescent="0.3">
      <c r="A191" t="s">
        <v>25</v>
      </c>
      <c r="B191" t="s">
        <v>24</v>
      </c>
      <c r="C191" t="s">
        <v>21</v>
      </c>
      <c r="D191">
        <v>168</v>
      </c>
      <c r="E191">
        <v>122</v>
      </c>
      <c r="F191">
        <v>15</v>
      </c>
      <c r="G191">
        <v>713550</v>
      </c>
      <c r="H191">
        <v>65399</v>
      </c>
      <c r="I191">
        <v>44</v>
      </c>
      <c r="J191" s="1">
        <f>Table2[[#This Row],[Deals Closed]]/Table2[[#This Row],[Leads Generated]]</f>
        <v>8.9285714285714288E-2</v>
      </c>
      <c r="K191" s="1">
        <f>Table2[[#This Row],[Deals Closed]]/Table2[[#This Row],[Demo Calls]]</f>
        <v>0.12295081967213115</v>
      </c>
      <c r="L191" s="2">
        <f>Table2[[#This Row],[Revenue]]/Table2[[#This Row],[Leads Generated]]</f>
        <v>4247.3214285714284</v>
      </c>
      <c r="M191" s="2">
        <f>Table2[[#This Row],[Marketing Spend]]/Table2[[#This Row],[Leads Generated]]</f>
        <v>389.27976190476193</v>
      </c>
      <c r="N191" s="2">
        <f>Table2[[#This Row],[Marketing Spend]]/Table2[[#This Row],[Deals Closed]]</f>
        <v>4359.9333333333334</v>
      </c>
    </row>
    <row r="192" spans="1:14" x14ac:dyDescent="0.3">
      <c r="A192" t="s">
        <v>26</v>
      </c>
      <c r="B192" t="s">
        <v>13</v>
      </c>
      <c r="C192" t="s">
        <v>21</v>
      </c>
      <c r="D192">
        <v>99</v>
      </c>
      <c r="E192">
        <v>36</v>
      </c>
      <c r="F192">
        <v>5</v>
      </c>
      <c r="G192">
        <v>274435</v>
      </c>
      <c r="H192">
        <v>65890</v>
      </c>
      <c r="I192">
        <v>68</v>
      </c>
      <c r="J192" s="1">
        <f>Table2[[#This Row],[Deals Closed]]/Table2[[#This Row],[Leads Generated]]</f>
        <v>5.0505050505050504E-2</v>
      </c>
      <c r="K192" s="1">
        <f>Table2[[#This Row],[Deals Closed]]/Table2[[#This Row],[Demo Calls]]</f>
        <v>0.1388888888888889</v>
      </c>
      <c r="L192" s="2">
        <f>Table2[[#This Row],[Revenue]]/Table2[[#This Row],[Leads Generated]]</f>
        <v>2772.0707070707072</v>
      </c>
      <c r="M192" s="2">
        <f>Table2[[#This Row],[Marketing Spend]]/Table2[[#This Row],[Leads Generated]]</f>
        <v>665.55555555555554</v>
      </c>
      <c r="N192" s="2">
        <f>Table2[[#This Row],[Marketing Spend]]/Table2[[#This Row],[Deals Closed]]</f>
        <v>13178</v>
      </c>
    </row>
    <row r="193" spans="1:14" x14ac:dyDescent="0.3">
      <c r="A193" t="s">
        <v>27</v>
      </c>
      <c r="B193" t="s">
        <v>24</v>
      </c>
      <c r="C193" t="s">
        <v>21</v>
      </c>
      <c r="D193">
        <v>116</v>
      </c>
      <c r="E193">
        <v>81</v>
      </c>
      <c r="F193">
        <v>7</v>
      </c>
      <c r="G193">
        <v>372596</v>
      </c>
      <c r="H193">
        <v>22634</v>
      </c>
      <c r="I193">
        <v>29</v>
      </c>
      <c r="J193" s="1">
        <f>Table2[[#This Row],[Deals Closed]]/Table2[[#This Row],[Leads Generated]]</f>
        <v>6.0344827586206899E-2</v>
      </c>
      <c r="K193" s="1">
        <f>Table2[[#This Row],[Deals Closed]]/Table2[[#This Row],[Demo Calls]]</f>
        <v>8.6419753086419748E-2</v>
      </c>
      <c r="L193" s="2">
        <f>Table2[[#This Row],[Revenue]]/Table2[[#This Row],[Leads Generated]]</f>
        <v>3212.0344827586205</v>
      </c>
      <c r="M193" s="2">
        <f>Table2[[#This Row],[Marketing Spend]]/Table2[[#This Row],[Leads Generated]]</f>
        <v>195.12068965517241</v>
      </c>
      <c r="N193" s="2">
        <f>Table2[[#This Row],[Marketing Spend]]/Table2[[#This Row],[Deals Closed]]</f>
        <v>3233.4285714285716</v>
      </c>
    </row>
    <row r="194" spans="1:14" x14ac:dyDescent="0.3">
      <c r="A194" t="s">
        <v>28</v>
      </c>
      <c r="B194" t="s">
        <v>10</v>
      </c>
      <c r="C194" t="s">
        <v>31</v>
      </c>
      <c r="D194">
        <v>67</v>
      </c>
      <c r="E194">
        <v>40</v>
      </c>
      <c r="F194">
        <v>8</v>
      </c>
      <c r="G194">
        <v>354096</v>
      </c>
      <c r="H194">
        <v>112859</v>
      </c>
      <c r="I194">
        <v>30</v>
      </c>
      <c r="J194" s="1">
        <f>Table2[[#This Row],[Deals Closed]]/Table2[[#This Row],[Leads Generated]]</f>
        <v>0.11940298507462686</v>
      </c>
      <c r="K194" s="1">
        <f>Table2[[#This Row],[Deals Closed]]/Table2[[#This Row],[Demo Calls]]</f>
        <v>0.2</v>
      </c>
      <c r="L194" s="2">
        <f>Table2[[#This Row],[Revenue]]/Table2[[#This Row],[Leads Generated]]</f>
        <v>5285.0149253731342</v>
      </c>
      <c r="M194" s="2">
        <f>Table2[[#This Row],[Marketing Spend]]/Table2[[#This Row],[Leads Generated]]</f>
        <v>1684.4626865671642</v>
      </c>
      <c r="N194" s="2">
        <f>Table2[[#This Row],[Marketing Spend]]/Table2[[#This Row],[Deals Closed]]</f>
        <v>14107.375</v>
      </c>
    </row>
    <row r="195" spans="1:14" x14ac:dyDescent="0.3">
      <c r="A195" t="s">
        <v>29</v>
      </c>
      <c r="B195" t="s">
        <v>13</v>
      </c>
      <c r="C195" t="s">
        <v>21</v>
      </c>
      <c r="D195">
        <v>152</v>
      </c>
      <c r="E195">
        <v>73</v>
      </c>
      <c r="F195">
        <v>15</v>
      </c>
      <c r="G195">
        <v>675555</v>
      </c>
      <c r="H195">
        <v>58025</v>
      </c>
      <c r="I195">
        <v>32</v>
      </c>
      <c r="J195" s="1">
        <f>Table2[[#This Row],[Deals Closed]]/Table2[[#This Row],[Leads Generated]]</f>
        <v>9.8684210526315791E-2</v>
      </c>
      <c r="K195" s="1">
        <f>Table2[[#This Row],[Deals Closed]]/Table2[[#This Row],[Demo Calls]]</f>
        <v>0.20547945205479451</v>
      </c>
      <c r="L195" s="2">
        <f>Table2[[#This Row],[Revenue]]/Table2[[#This Row],[Leads Generated]]</f>
        <v>4444.4407894736842</v>
      </c>
      <c r="M195" s="2">
        <f>Table2[[#This Row],[Marketing Spend]]/Table2[[#This Row],[Leads Generated]]</f>
        <v>381.74342105263156</v>
      </c>
      <c r="N195" s="2">
        <f>Table2[[#This Row],[Marketing Spend]]/Table2[[#This Row],[Deals Closed]]</f>
        <v>3868.3333333333335</v>
      </c>
    </row>
    <row r="196" spans="1:14" x14ac:dyDescent="0.3">
      <c r="A196" t="s">
        <v>30</v>
      </c>
      <c r="B196" t="s">
        <v>24</v>
      </c>
      <c r="C196" t="s">
        <v>16</v>
      </c>
      <c r="D196">
        <v>181</v>
      </c>
      <c r="E196">
        <v>160</v>
      </c>
      <c r="F196">
        <v>35</v>
      </c>
      <c r="G196">
        <v>1291010</v>
      </c>
      <c r="H196">
        <v>57055</v>
      </c>
      <c r="I196">
        <v>67</v>
      </c>
      <c r="J196" s="1">
        <f>Table2[[#This Row],[Deals Closed]]/Table2[[#This Row],[Leads Generated]]</f>
        <v>0.19337016574585636</v>
      </c>
      <c r="K196" s="1">
        <f>Table2[[#This Row],[Deals Closed]]/Table2[[#This Row],[Demo Calls]]</f>
        <v>0.21875</v>
      </c>
      <c r="L196" s="2">
        <f>Table2[[#This Row],[Revenue]]/Table2[[#This Row],[Leads Generated]]</f>
        <v>7132.6519337016571</v>
      </c>
      <c r="M196" s="2">
        <f>Table2[[#This Row],[Marketing Spend]]/Table2[[#This Row],[Leads Generated]]</f>
        <v>315.22099447513813</v>
      </c>
      <c r="N196" s="2">
        <f>Table2[[#This Row],[Marketing Spend]]/Table2[[#This Row],[Deals Closed]]</f>
        <v>1630.1428571428571</v>
      </c>
    </row>
    <row r="197" spans="1:14" x14ac:dyDescent="0.3">
      <c r="A197" t="s">
        <v>32</v>
      </c>
      <c r="B197" t="s">
        <v>10</v>
      </c>
      <c r="C197" t="s">
        <v>11</v>
      </c>
      <c r="D197">
        <v>97</v>
      </c>
      <c r="E197">
        <v>52</v>
      </c>
      <c r="F197">
        <v>4</v>
      </c>
      <c r="G197">
        <v>143828</v>
      </c>
      <c r="H197">
        <v>54541</v>
      </c>
      <c r="I197">
        <v>43</v>
      </c>
      <c r="J197" s="1">
        <f>Table2[[#This Row],[Deals Closed]]/Table2[[#This Row],[Leads Generated]]</f>
        <v>4.1237113402061855E-2</v>
      </c>
      <c r="K197" s="1">
        <f>Table2[[#This Row],[Deals Closed]]/Table2[[#This Row],[Demo Calls]]</f>
        <v>7.6923076923076927E-2</v>
      </c>
      <c r="L197" s="2">
        <f>Table2[[#This Row],[Revenue]]/Table2[[#This Row],[Leads Generated]]</f>
        <v>1482.7628865979382</v>
      </c>
      <c r="M197" s="2">
        <f>Table2[[#This Row],[Marketing Spend]]/Table2[[#This Row],[Leads Generated]]</f>
        <v>562.2783505154639</v>
      </c>
      <c r="N197" s="2">
        <f>Table2[[#This Row],[Marketing Spend]]/Table2[[#This Row],[Deals Closed]]</f>
        <v>13635.25</v>
      </c>
    </row>
    <row r="198" spans="1:14" x14ac:dyDescent="0.3">
      <c r="A198" t="s">
        <v>33</v>
      </c>
      <c r="B198" t="s">
        <v>10</v>
      </c>
      <c r="C198" t="s">
        <v>14</v>
      </c>
      <c r="D198">
        <v>156</v>
      </c>
      <c r="E198">
        <v>85</v>
      </c>
      <c r="F198">
        <v>13</v>
      </c>
      <c r="G198">
        <v>520559</v>
      </c>
      <c r="H198">
        <v>133678</v>
      </c>
      <c r="I198">
        <v>23</v>
      </c>
      <c r="J198" s="1">
        <f>Table2[[#This Row],[Deals Closed]]/Table2[[#This Row],[Leads Generated]]</f>
        <v>8.3333333333333329E-2</v>
      </c>
      <c r="K198" s="1">
        <f>Table2[[#This Row],[Deals Closed]]/Table2[[#This Row],[Demo Calls]]</f>
        <v>0.15294117647058825</v>
      </c>
      <c r="L198" s="2">
        <f>Table2[[#This Row],[Revenue]]/Table2[[#This Row],[Leads Generated]]</f>
        <v>3336.9166666666665</v>
      </c>
      <c r="M198" s="2">
        <f>Table2[[#This Row],[Marketing Spend]]/Table2[[#This Row],[Leads Generated]]</f>
        <v>856.91025641025647</v>
      </c>
      <c r="N198" s="2">
        <f>Table2[[#This Row],[Marketing Spend]]/Table2[[#This Row],[Deals Closed]]</f>
        <v>10282.923076923076</v>
      </c>
    </row>
    <row r="199" spans="1:14" x14ac:dyDescent="0.3">
      <c r="A199" t="s">
        <v>34</v>
      </c>
      <c r="B199" t="s">
        <v>18</v>
      </c>
      <c r="C199" t="s">
        <v>11</v>
      </c>
      <c r="D199">
        <v>180</v>
      </c>
      <c r="E199">
        <v>137</v>
      </c>
      <c r="F199">
        <v>20</v>
      </c>
      <c r="G199">
        <v>839500</v>
      </c>
      <c r="H199">
        <v>70264</v>
      </c>
      <c r="I199">
        <v>44</v>
      </c>
      <c r="J199" s="1">
        <f>Table2[[#This Row],[Deals Closed]]/Table2[[#This Row],[Leads Generated]]</f>
        <v>0.1111111111111111</v>
      </c>
      <c r="K199" s="1">
        <f>Table2[[#This Row],[Deals Closed]]/Table2[[#This Row],[Demo Calls]]</f>
        <v>0.145985401459854</v>
      </c>
      <c r="L199" s="2">
        <f>Table2[[#This Row],[Revenue]]/Table2[[#This Row],[Leads Generated]]</f>
        <v>4663.8888888888887</v>
      </c>
      <c r="M199" s="2">
        <f>Table2[[#This Row],[Marketing Spend]]/Table2[[#This Row],[Leads Generated]]</f>
        <v>390.35555555555555</v>
      </c>
      <c r="N199" s="2">
        <f>Table2[[#This Row],[Marketing Spend]]/Table2[[#This Row],[Deals Closed]]</f>
        <v>3513.2</v>
      </c>
    </row>
    <row r="200" spans="1:14" x14ac:dyDescent="0.3">
      <c r="A200" t="s">
        <v>35</v>
      </c>
      <c r="B200" t="s">
        <v>18</v>
      </c>
      <c r="C200" t="s">
        <v>31</v>
      </c>
      <c r="D200">
        <v>121</v>
      </c>
      <c r="E200">
        <v>84</v>
      </c>
      <c r="F200">
        <v>16</v>
      </c>
      <c r="G200">
        <v>679968</v>
      </c>
      <c r="H200">
        <v>61743</v>
      </c>
      <c r="I200">
        <v>30</v>
      </c>
      <c r="J200" s="1">
        <f>Table2[[#This Row],[Deals Closed]]/Table2[[#This Row],[Leads Generated]]</f>
        <v>0.13223140495867769</v>
      </c>
      <c r="K200" s="1">
        <f>Table2[[#This Row],[Deals Closed]]/Table2[[#This Row],[Demo Calls]]</f>
        <v>0.19047619047619047</v>
      </c>
      <c r="L200" s="2">
        <f>Table2[[#This Row],[Revenue]]/Table2[[#This Row],[Leads Generated]]</f>
        <v>5619.5702479338843</v>
      </c>
      <c r="M200" s="2">
        <f>Table2[[#This Row],[Marketing Spend]]/Table2[[#This Row],[Leads Generated]]</f>
        <v>510.27272727272725</v>
      </c>
      <c r="N200" s="2">
        <f>Table2[[#This Row],[Marketing Spend]]/Table2[[#This Row],[Deals Closed]]</f>
        <v>3858.9375</v>
      </c>
    </row>
    <row r="201" spans="1:14" x14ac:dyDescent="0.3">
      <c r="A201" t="s">
        <v>36</v>
      </c>
      <c r="B201" t="s">
        <v>13</v>
      </c>
      <c r="C201" t="s">
        <v>21</v>
      </c>
      <c r="D201">
        <v>178</v>
      </c>
      <c r="E201">
        <v>127</v>
      </c>
      <c r="F201">
        <v>17</v>
      </c>
      <c r="G201">
        <v>602769</v>
      </c>
      <c r="H201">
        <v>36365</v>
      </c>
      <c r="I201">
        <v>25</v>
      </c>
      <c r="J201" s="1">
        <f>Table2[[#This Row],[Deals Closed]]/Table2[[#This Row],[Leads Generated]]</f>
        <v>9.5505617977528087E-2</v>
      </c>
      <c r="K201" s="1">
        <f>Table2[[#This Row],[Deals Closed]]/Table2[[#This Row],[Demo Calls]]</f>
        <v>0.13385826771653545</v>
      </c>
      <c r="L201" s="2">
        <f>Table2[[#This Row],[Revenue]]/Table2[[#This Row],[Leads Generated]]</f>
        <v>3386.3426966292136</v>
      </c>
      <c r="M201" s="2">
        <f>Table2[[#This Row],[Marketing Spend]]/Table2[[#This Row],[Leads Generated]]</f>
        <v>204.29775280898878</v>
      </c>
      <c r="N201" s="2">
        <f>Table2[[#This Row],[Marketing Spend]]/Table2[[#This Row],[Deals Closed]]</f>
        <v>2139.1176470588234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Tanishka Durande</cp:lastModifiedBy>
  <dcterms:created xsi:type="dcterms:W3CDTF">2026-07-15T14:07:42Z</dcterms:created>
  <dcterms:modified xsi:type="dcterms:W3CDTF">2026-07-19T19:01:39Z</dcterms:modified>
</cp:coreProperties>
</file>